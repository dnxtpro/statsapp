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Volley\statsapp\src\assets\"/>
    </mc:Choice>
  </mc:AlternateContent>
  <xr:revisionPtr revIDLastSave="0" documentId="13_ncr:3_{4646EFCE-E07C-4264-8224-EAC12BAEF0C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VR36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" i="22" l="1"/>
  <c r="O61" i="22"/>
  <c r="J51" i="22"/>
  <c r="AE45" i="22" l="1"/>
  <c r="H28" i="22"/>
  <c r="AY48" i="22"/>
  <c r="AO48" i="22"/>
  <c r="AE48" i="22"/>
  <c r="U48" i="22"/>
  <c r="K48" i="22"/>
  <c r="B48" i="22"/>
  <c r="B71" i="22" s="1"/>
  <c r="A48" i="22"/>
  <c r="A71" i="22" s="1"/>
  <c r="AY25" i="22"/>
  <c r="AO25" i="22"/>
  <c r="AE25" i="22"/>
  <c r="U25" i="22"/>
  <c r="K25" i="22"/>
  <c r="AY45" i="22"/>
  <c r="AO45" i="22"/>
  <c r="U45" i="22"/>
  <c r="K45" i="22"/>
  <c r="AY22" i="22"/>
  <c r="AO22" i="22"/>
  <c r="AE22" i="22"/>
  <c r="U22" i="22"/>
  <c r="K22" i="22"/>
  <c r="AY10" i="22"/>
  <c r="AO10" i="22"/>
  <c r="AE10" i="22"/>
  <c r="U10" i="22"/>
  <c r="K10" i="22"/>
  <c r="AY11" i="22"/>
  <c r="AO11" i="22"/>
  <c r="AE11" i="22"/>
  <c r="U11" i="22"/>
  <c r="K11" i="22"/>
  <c r="AY12" i="22"/>
  <c r="AO12" i="22"/>
  <c r="AE12" i="22"/>
  <c r="U12" i="22"/>
  <c r="K12" i="22"/>
  <c r="AY13" i="22"/>
  <c r="AO13" i="22"/>
  <c r="AE13" i="22"/>
  <c r="U13" i="22"/>
  <c r="K13" i="22"/>
  <c r="AY14" i="22"/>
  <c r="AO14" i="22"/>
  <c r="AE14" i="22"/>
  <c r="U14" i="22"/>
  <c r="K14" i="22"/>
  <c r="AY15" i="22"/>
  <c r="AO15" i="22"/>
  <c r="AE15" i="22"/>
  <c r="U15" i="22"/>
  <c r="K15" i="22"/>
  <c r="AY16" i="22"/>
  <c r="AO16" i="22"/>
  <c r="AE16" i="22"/>
  <c r="U16" i="22"/>
  <c r="K16" i="22"/>
  <c r="AY17" i="22"/>
  <c r="AO17" i="22"/>
  <c r="AE17" i="22"/>
  <c r="U17" i="22"/>
  <c r="K17" i="22"/>
  <c r="AY18" i="22"/>
  <c r="AO18" i="22"/>
  <c r="AE18" i="22"/>
  <c r="U18" i="22"/>
  <c r="K18" i="22"/>
  <c r="AY19" i="22"/>
  <c r="AO19" i="22"/>
  <c r="AE19" i="22"/>
  <c r="U19" i="22"/>
  <c r="K19" i="22"/>
  <c r="AY20" i="22"/>
  <c r="AO20" i="22"/>
  <c r="AE20" i="22"/>
  <c r="U20" i="22"/>
  <c r="K20" i="22"/>
  <c r="AY21" i="22"/>
  <c r="AO21" i="22"/>
  <c r="AE21" i="22"/>
  <c r="U21" i="22"/>
  <c r="K21" i="22"/>
  <c r="AY23" i="22"/>
  <c r="AO23" i="22"/>
  <c r="AE23" i="22"/>
  <c r="U23" i="22"/>
  <c r="K23" i="22"/>
  <c r="AY24" i="22"/>
  <c r="AO24" i="22"/>
  <c r="AE24" i="22"/>
  <c r="U24" i="22"/>
  <c r="K24" i="22"/>
  <c r="AY26" i="22"/>
  <c r="AO26" i="22"/>
  <c r="AE26" i="22"/>
  <c r="U26" i="22"/>
  <c r="K26" i="22"/>
  <c r="AY27" i="22"/>
  <c r="AO27" i="22"/>
  <c r="AE27" i="22"/>
  <c r="U27" i="22"/>
  <c r="AY33" i="22"/>
  <c r="AO33" i="22"/>
  <c r="AE33" i="22"/>
  <c r="U33" i="22"/>
  <c r="K33" i="22"/>
  <c r="AY34" i="22"/>
  <c r="AO34" i="22"/>
  <c r="AE34" i="22"/>
  <c r="U34" i="22"/>
  <c r="K34" i="22"/>
  <c r="AY35" i="22"/>
  <c r="AO35" i="22"/>
  <c r="AE35" i="22"/>
  <c r="U35" i="22"/>
  <c r="K35" i="22"/>
  <c r="AY36" i="22"/>
  <c r="AO36" i="22"/>
  <c r="AE36" i="22"/>
  <c r="U36" i="22"/>
  <c r="K36" i="22"/>
  <c r="AY37" i="22"/>
  <c r="AO37" i="22"/>
  <c r="AE37" i="22"/>
  <c r="U37" i="22"/>
  <c r="K37" i="22"/>
  <c r="AY38" i="22"/>
  <c r="AO38" i="22"/>
  <c r="AE38" i="22"/>
  <c r="U38" i="22"/>
  <c r="K38" i="22"/>
  <c r="AY39" i="22"/>
  <c r="AO39" i="22"/>
  <c r="AE39" i="22"/>
  <c r="U39" i="22"/>
  <c r="K39" i="22"/>
  <c r="AY40" i="22"/>
  <c r="AO40" i="22"/>
  <c r="AE40" i="22"/>
  <c r="U40" i="22"/>
  <c r="K40" i="22"/>
  <c r="AY41" i="22"/>
  <c r="AO41" i="22"/>
  <c r="AE41" i="22"/>
  <c r="U41" i="22"/>
  <c r="K41" i="22"/>
  <c r="AY42" i="22"/>
  <c r="AO42" i="22"/>
  <c r="AE42" i="22"/>
  <c r="U42" i="22"/>
  <c r="K42" i="22"/>
  <c r="AY43" i="22"/>
  <c r="AO43" i="22"/>
  <c r="AE43" i="22"/>
  <c r="U43" i="22"/>
  <c r="K43" i="22"/>
  <c r="AY44" i="22"/>
  <c r="AO44" i="22"/>
  <c r="AE44" i="22"/>
  <c r="U44" i="22"/>
  <c r="K44" i="22"/>
  <c r="AY46" i="22"/>
  <c r="AO46" i="22"/>
  <c r="AE46" i="22"/>
  <c r="U46" i="22"/>
  <c r="K46" i="22"/>
  <c r="AY47" i="22"/>
  <c r="AO47" i="22"/>
  <c r="AE47" i="22"/>
  <c r="U47" i="22"/>
  <c r="K47" i="22"/>
  <c r="AY49" i="22"/>
  <c r="AO49" i="22"/>
  <c r="AE49" i="22"/>
  <c r="U49" i="22"/>
  <c r="K49" i="22"/>
  <c r="AY50" i="22"/>
  <c r="AE50" i="22"/>
  <c r="U50" i="22"/>
  <c r="K50" i="22"/>
  <c r="B45" i="22"/>
  <c r="B68" i="22" s="1"/>
  <c r="A45" i="22"/>
  <c r="A68" i="22" s="1"/>
  <c r="A43" i="22"/>
  <c r="A66" i="22" s="1"/>
  <c r="B43" i="22"/>
  <c r="B66" i="22" s="1"/>
  <c r="A44" i="22"/>
  <c r="A67" i="22" s="1"/>
  <c r="B44" i="22"/>
  <c r="B67" i="22" s="1"/>
  <c r="B41" i="22"/>
  <c r="B64" i="22" s="1"/>
  <c r="A41" i="22"/>
  <c r="A64" i="22" s="1"/>
  <c r="B38" i="22"/>
  <c r="B61" i="22" s="1"/>
  <c r="A38" i="22"/>
  <c r="A61" i="22" s="1"/>
  <c r="B37" i="22"/>
  <c r="B60" i="22" s="1"/>
  <c r="A37" i="22"/>
  <c r="A60" i="22" s="1"/>
  <c r="B39" i="22"/>
  <c r="B62" i="22" s="1"/>
  <c r="A39" i="22"/>
  <c r="A62" i="22" s="1"/>
  <c r="F51" i="22"/>
  <c r="P51" i="22"/>
  <c r="Z51" i="22"/>
  <c r="AJ51" i="22"/>
  <c r="AT51" i="22"/>
  <c r="H51" i="22"/>
  <c r="R51" i="22"/>
  <c r="AB51" i="22"/>
  <c r="AL51" i="22"/>
  <c r="I51" i="22"/>
  <c r="Q58" i="22" s="1"/>
  <c r="S51" i="22"/>
  <c r="AC51" i="22"/>
  <c r="AM51" i="22"/>
  <c r="AW51" i="22"/>
  <c r="T51" i="22"/>
  <c r="AD51" i="22"/>
  <c r="AN51" i="22"/>
  <c r="AX51" i="22"/>
  <c r="C51" i="22"/>
  <c r="M51" i="22"/>
  <c r="W51" i="22"/>
  <c r="AG51" i="22"/>
  <c r="AQ51" i="22"/>
  <c r="D51" i="22"/>
  <c r="N51" i="22"/>
  <c r="X51" i="22"/>
  <c r="AH51" i="22"/>
  <c r="AR51" i="22"/>
  <c r="G51" i="22"/>
  <c r="Q51" i="22"/>
  <c r="AA51" i="22"/>
  <c r="AK51" i="22"/>
  <c r="AU51" i="22"/>
  <c r="C28" i="22"/>
  <c r="M28" i="22"/>
  <c r="W28" i="22"/>
  <c r="AG28" i="22"/>
  <c r="AQ28" i="22"/>
  <c r="D28" i="22"/>
  <c r="O57" i="22" s="1"/>
  <c r="N28" i="22"/>
  <c r="X28" i="22"/>
  <c r="AH28" i="22"/>
  <c r="AR28" i="22"/>
  <c r="E28" i="22"/>
  <c r="O58" i="22" s="1"/>
  <c r="O28" i="22"/>
  <c r="Y28" i="22"/>
  <c r="AI28" i="22"/>
  <c r="AS28" i="22"/>
  <c r="F28" i="22"/>
  <c r="O59" i="22" s="1"/>
  <c r="P28" i="22"/>
  <c r="Z28" i="22"/>
  <c r="AJ28" i="22"/>
  <c r="AT28" i="22"/>
  <c r="R28" i="22"/>
  <c r="O60" i="22" s="1"/>
  <c r="AB28" i="22"/>
  <c r="AL28" i="22"/>
  <c r="AV28" i="22"/>
  <c r="S28" i="22"/>
  <c r="AC28" i="22"/>
  <c r="AM28" i="22"/>
  <c r="AW28" i="22"/>
  <c r="I28" i="22"/>
  <c r="J28" i="22"/>
  <c r="T28" i="22"/>
  <c r="AD28" i="22"/>
  <c r="AN28" i="22"/>
  <c r="AX28" i="22"/>
  <c r="G28" i="22"/>
  <c r="Q28" i="22"/>
  <c r="AA28" i="22"/>
  <c r="AK28" i="22"/>
  <c r="AU28" i="22"/>
  <c r="E51" i="22"/>
  <c r="O51" i="22"/>
  <c r="Y51" i="22"/>
  <c r="AI51" i="22"/>
  <c r="AS51" i="22"/>
  <c r="A46" i="22"/>
  <c r="A69" i="22" s="1"/>
  <c r="B47" i="22"/>
  <c r="B70" i="22" s="1"/>
  <c r="A47" i="22"/>
  <c r="A70" i="22" s="1"/>
  <c r="B49" i="22"/>
  <c r="B72" i="22" s="1"/>
  <c r="A49" i="22"/>
  <c r="A72" i="22" s="1"/>
  <c r="B50" i="22"/>
  <c r="B73" i="22" s="1"/>
  <c r="B46" i="22"/>
  <c r="B69" i="22" s="1"/>
  <c r="B42" i="22"/>
  <c r="B65" i="22" s="1"/>
  <c r="A42" i="22"/>
  <c r="A65" i="22" s="1"/>
  <c r="B40" i="22"/>
  <c r="B63" i="22" s="1"/>
  <c r="A40" i="22"/>
  <c r="A63" i="22" s="1"/>
  <c r="B36" i="22"/>
  <c r="B59" i="22" s="1"/>
  <c r="A36" i="22"/>
  <c r="A59" i="22" s="1"/>
  <c r="B35" i="22"/>
  <c r="B58" i="22" s="1"/>
  <c r="A35" i="22"/>
  <c r="A58" i="22" s="1"/>
  <c r="B34" i="22"/>
  <c r="B57" i="22" s="1"/>
  <c r="A34" i="22"/>
  <c r="A57" i="22" s="1"/>
  <c r="B33" i="22"/>
  <c r="B56" i="22" s="1"/>
  <c r="A33" i="22"/>
  <c r="A56" i="22"/>
  <c r="O54" i="22"/>
  <c r="AV51" i="22"/>
  <c r="O62" i="22" l="1"/>
  <c r="O63" i="22" s="1"/>
  <c r="BA47" i="22"/>
  <c r="BA14" i="22"/>
  <c r="C60" i="22" s="1"/>
  <c r="BA43" i="22"/>
  <c r="E66" i="22" s="1"/>
  <c r="BA22" i="22"/>
  <c r="C68" i="22" s="1"/>
  <c r="BA39" i="22"/>
  <c r="E62" i="22" s="1"/>
  <c r="BA16" i="22"/>
  <c r="C62" i="22" s="1"/>
  <c r="BA18" i="22"/>
  <c r="C64" i="22" s="1"/>
  <c r="BA24" i="22"/>
  <c r="C70" i="22" s="1"/>
  <c r="BA34" i="22"/>
  <c r="E57" i="22" s="1"/>
  <c r="BA50" i="22"/>
  <c r="E73" i="22" s="1"/>
  <c r="BA11" i="22"/>
  <c r="C57" i="22" s="1"/>
  <c r="BA13" i="22"/>
  <c r="C59" i="22" s="1"/>
  <c r="BA49" i="22"/>
  <c r="E72" i="22" s="1"/>
  <c r="BA35" i="22"/>
  <c r="E58" i="22" s="1"/>
  <c r="Q57" i="22"/>
  <c r="Q60" i="22"/>
  <c r="BA48" i="22"/>
  <c r="E71" i="22" s="1"/>
  <c r="O56" i="22"/>
  <c r="BA27" i="22"/>
  <c r="C73" i="22" s="1"/>
  <c r="AO28" i="22"/>
  <c r="AP16" i="22" s="1"/>
  <c r="BA37" i="22"/>
  <c r="E60" i="22" s="1"/>
  <c r="BA26" i="22"/>
  <c r="C72" i="22" s="1"/>
  <c r="Q59" i="22"/>
  <c r="BA40" i="22"/>
  <c r="E63" i="22" s="1"/>
  <c r="BA38" i="22"/>
  <c r="E61" i="22" s="1"/>
  <c r="K28" i="22"/>
  <c r="AH29" i="22" s="1"/>
  <c r="Q62" i="22"/>
  <c r="BA46" i="22"/>
  <c r="E69" i="22" s="1"/>
  <c r="AO51" i="22"/>
  <c r="AP43" i="22" s="1"/>
  <c r="BA20" i="22"/>
  <c r="C66" i="22" s="1"/>
  <c r="BA17" i="22"/>
  <c r="C63" i="22" s="1"/>
  <c r="BA25" i="22"/>
  <c r="C71" i="22" s="1"/>
  <c r="BA33" i="22"/>
  <c r="E56" i="22" s="1"/>
  <c r="Q61" i="22"/>
  <c r="BA36" i="22"/>
  <c r="E59" i="22" s="1"/>
  <c r="K51" i="22"/>
  <c r="BA45" i="22"/>
  <c r="E68" i="22" s="1"/>
  <c r="Q56" i="22"/>
  <c r="BA41" i="22"/>
  <c r="E64" i="22" s="1"/>
  <c r="U51" i="22"/>
  <c r="V44" i="22" s="1"/>
  <c r="BA23" i="22"/>
  <c r="C69" i="22" s="1"/>
  <c r="BA10" i="22"/>
  <c r="C56" i="22" s="1"/>
  <c r="BA19" i="22"/>
  <c r="C65" i="22" s="1"/>
  <c r="AY51" i="22"/>
  <c r="AZ35" i="22" s="1"/>
  <c r="BA44" i="22"/>
  <c r="BA12" i="22"/>
  <c r="E70" i="22"/>
  <c r="BA21" i="22"/>
  <c r="U28" i="22"/>
  <c r="V21" i="22" s="1"/>
  <c r="AE28" i="22"/>
  <c r="AF17" i="22" s="1"/>
  <c r="AY28" i="22"/>
  <c r="AZ15" i="22" s="1"/>
  <c r="BA15" i="22"/>
  <c r="AE51" i="22"/>
  <c r="AF48" i="22" s="1"/>
  <c r="BA42" i="22"/>
  <c r="L48" i="22" l="1"/>
  <c r="J52" i="22"/>
  <c r="AZ45" i="22"/>
  <c r="AZ33" i="22"/>
  <c r="AZ25" i="22"/>
  <c r="AZ17" i="22"/>
  <c r="I62" i="22"/>
  <c r="AP26" i="22"/>
  <c r="AP11" i="22"/>
  <c r="AP22" i="22"/>
  <c r="AP27" i="22"/>
  <c r="AP21" i="22"/>
  <c r="AP17" i="22"/>
  <c r="AP20" i="22"/>
  <c r="AP18" i="22"/>
  <c r="AP24" i="22"/>
  <c r="AP15" i="22"/>
  <c r="AP19" i="22"/>
  <c r="AP23" i="22"/>
  <c r="AP10" i="22"/>
  <c r="H68" i="22"/>
  <c r="H66" i="22"/>
  <c r="H62" i="22"/>
  <c r="H57" i="22"/>
  <c r="H71" i="22"/>
  <c r="I73" i="22"/>
  <c r="H63" i="22"/>
  <c r="AF12" i="22"/>
  <c r="V47" i="22"/>
  <c r="V49" i="22"/>
  <c r="V33" i="22"/>
  <c r="H72" i="22"/>
  <c r="V25" i="22"/>
  <c r="V10" i="22"/>
  <c r="V46" i="22"/>
  <c r="V43" i="22"/>
  <c r="V37" i="22"/>
  <c r="V38" i="22"/>
  <c r="V40" i="22"/>
  <c r="V36" i="22"/>
  <c r="AD29" i="22"/>
  <c r="AI29" i="22"/>
  <c r="O29" i="22"/>
  <c r="AC29" i="22"/>
  <c r="L18" i="22"/>
  <c r="L21" i="22"/>
  <c r="AA29" i="22"/>
  <c r="L23" i="22"/>
  <c r="T29" i="22"/>
  <c r="AN29" i="22"/>
  <c r="J29" i="22"/>
  <c r="Z29" i="22"/>
  <c r="AK29" i="22"/>
  <c r="L20" i="22"/>
  <c r="L12" i="22"/>
  <c r="F29" i="22"/>
  <c r="AT29" i="22"/>
  <c r="AL29" i="22"/>
  <c r="L17" i="22"/>
  <c r="Y29" i="22"/>
  <c r="AQ52" i="22"/>
  <c r="AC52" i="22"/>
  <c r="AB52" i="22"/>
  <c r="Q52" i="22"/>
  <c r="AI52" i="22"/>
  <c r="L42" i="22"/>
  <c r="L49" i="22"/>
  <c r="L34" i="22"/>
  <c r="L38" i="22"/>
  <c r="AH52" i="22"/>
  <c r="L40" i="22"/>
  <c r="AG52" i="22"/>
  <c r="R52" i="22"/>
  <c r="AU52" i="22"/>
  <c r="L43" i="22"/>
  <c r="L50" i="22"/>
  <c r="H52" i="22"/>
  <c r="P61" i="22"/>
  <c r="G29" i="22"/>
  <c r="AU29" i="22"/>
  <c r="L16" i="22"/>
  <c r="E29" i="22"/>
  <c r="V42" i="22"/>
  <c r="I71" i="22"/>
  <c r="AP25" i="22"/>
  <c r="V34" i="22"/>
  <c r="Q29" i="22"/>
  <c r="I29" i="22"/>
  <c r="Q63" i="22"/>
  <c r="R59" i="22" s="1"/>
  <c r="AP13" i="22"/>
  <c r="V50" i="22"/>
  <c r="V41" i="22"/>
  <c r="AW29" i="22"/>
  <c r="AP12" i="22"/>
  <c r="AF44" i="22"/>
  <c r="AP14" i="22"/>
  <c r="V35" i="22"/>
  <c r="AJ29" i="22"/>
  <c r="AF25" i="22"/>
  <c r="V39" i="22"/>
  <c r="O52" i="22"/>
  <c r="L22" i="22"/>
  <c r="S29" i="22"/>
  <c r="X52" i="22"/>
  <c r="L44" i="22"/>
  <c r="AR52" i="22"/>
  <c r="Y52" i="22"/>
  <c r="AP40" i="22"/>
  <c r="L39" i="22"/>
  <c r="AK52" i="22"/>
  <c r="AS52" i="22"/>
  <c r="E52" i="22"/>
  <c r="AP34" i="22"/>
  <c r="AD52" i="22"/>
  <c r="AP35" i="22"/>
  <c r="D52" i="22"/>
  <c r="N52" i="22"/>
  <c r="AP41" i="22"/>
  <c r="AX29" i="22"/>
  <c r="L24" i="22"/>
  <c r="L37" i="22"/>
  <c r="AP36" i="22"/>
  <c r="S52" i="22"/>
  <c r="L33" i="22"/>
  <c r="AP50" i="22"/>
  <c r="C29" i="22"/>
  <c r="AS29" i="22"/>
  <c r="L13" i="22"/>
  <c r="AP42" i="22"/>
  <c r="AM52" i="22"/>
  <c r="L47" i="22"/>
  <c r="AP33" i="22"/>
  <c r="L36" i="22"/>
  <c r="AL52" i="22"/>
  <c r="F52" i="22"/>
  <c r="AF21" i="22"/>
  <c r="AP46" i="22"/>
  <c r="W29" i="22"/>
  <c r="H29" i="22"/>
  <c r="M29" i="22"/>
  <c r="AV52" i="22"/>
  <c r="T52" i="22"/>
  <c r="Z52" i="22"/>
  <c r="AP45" i="22"/>
  <c r="AP37" i="22"/>
  <c r="L26" i="22"/>
  <c r="AB29" i="22"/>
  <c r="L27" i="22"/>
  <c r="N29" i="22"/>
  <c r="AP44" i="22"/>
  <c r="M52" i="22"/>
  <c r="AN52" i="22"/>
  <c r="AT52" i="22"/>
  <c r="L19" i="22"/>
  <c r="AP47" i="22"/>
  <c r="D29" i="22"/>
  <c r="AV29" i="22"/>
  <c r="L14" i="22"/>
  <c r="AZ48" i="22"/>
  <c r="AP48" i="22"/>
  <c r="L35" i="22"/>
  <c r="AG29" i="22"/>
  <c r="AQ29" i="22"/>
  <c r="L45" i="22"/>
  <c r="AX52" i="22"/>
  <c r="AP39" i="22"/>
  <c r="X29" i="22"/>
  <c r="L15" i="22"/>
  <c r="AM29" i="22"/>
  <c r="V45" i="22"/>
  <c r="AW52" i="22"/>
  <c r="I66" i="22"/>
  <c r="AJ52" i="22"/>
  <c r="P52" i="22"/>
  <c r="L25" i="22"/>
  <c r="C52" i="22"/>
  <c r="G52" i="22"/>
  <c r="AP38" i="22"/>
  <c r="AR29" i="22"/>
  <c r="P29" i="22"/>
  <c r="L10" i="22"/>
  <c r="V48" i="22"/>
  <c r="AP49" i="22"/>
  <c r="L41" i="22"/>
  <c r="H60" i="22"/>
  <c r="L46" i="22"/>
  <c r="AF19" i="22"/>
  <c r="I52" i="22"/>
  <c r="W52" i="22"/>
  <c r="AA52" i="22"/>
  <c r="L11" i="22"/>
  <c r="R29" i="22"/>
  <c r="I64" i="22"/>
  <c r="I70" i="22"/>
  <c r="AF43" i="22"/>
  <c r="AF36" i="22"/>
  <c r="AF42" i="22"/>
  <c r="AF45" i="22"/>
  <c r="AF37" i="22"/>
  <c r="AF46" i="22"/>
  <c r="AF39" i="22"/>
  <c r="AF34" i="22"/>
  <c r="AF40" i="22"/>
  <c r="AF50" i="22"/>
  <c r="AF41" i="22"/>
  <c r="AF47" i="22"/>
  <c r="AF38" i="22"/>
  <c r="AF49" i="22"/>
  <c r="AF33" i="22"/>
  <c r="I59" i="22"/>
  <c r="I63" i="22"/>
  <c r="AZ42" i="22"/>
  <c r="E65" i="22"/>
  <c r="C67" i="22"/>
  <c r="C61" i="22"/>
  <c r="H61" i="22" s="1"/>
  <c r="C58" i="22"/>
  <c r="H58" i="22" s="1"/>
  <c r="E67" i="22"/>
  <c r="H73" i="22"/>
  <c r="I60" i="22"/>
  <c r="H70" i="22"/>
  <c r="AZ43" i="22"/>
  <c r="AZ46" i="22"/>
  <c r="BA51" i="22"/>
  <c r="AZ39" i="22"/>
  <c r="AZ40" i="22"/>
  <c r="AZ38" i="22"/>
  <c r="AZ50" i="22"/>
  <c r="AZ41" i="22"/>
  <c r="AZ47" i="22"/>
  <c r="AZ34" i="22"/>
  <c r="AZ44" i="22"/>
  <c r="AZ37" i="22"/>
  <c r="AZ49" i="22"/>
  <c r="AZ36" i="22"/>
  <c r="H64" i="22"/>
  <c r="AZ23" i="22"/>
  <c r="AZ24" i="22"/>
  <c r="AZ12" i="22"/>
  <c r="AZ10" i="22"/>
  <c r="AZ18" i="22"/>
  <c r="AZ11" i="22"/>
  <c r="AZ21" i="22"/>
  <c r="AZ27" i="22"/>
  <c r="AZ26" i="22"/>
  <c r="AZ19" i="22"/>
  <c r="AZ22" i="22"/>
  <c r="AZ16" i="22"/>
  <c r="AZ14" i="22"/>
  <c r="AZ20" i="22"/>
  <c r="BA28" i="22"/>
  <c r="BB21" i="22" s="1"/>
  <c r="D67" i="22" s="1"/>
  <c r="AZ13" i="22"/>
  <c r="AF13" i="22"/>
  <c r="AF23" i="22"/>
  <c r="AF15" i="22"/>
  <c r="AF24" i="22"/>
  <c r="AF16" i="22"/>
  <c r="AF14" i="22"/>
  <c r="AF20" i="22"/>
  <c r="AF26" i="22"/>
  <c r="AF10" i="22"/>
  <c r="AF22" i="22"/>
  <c r="AF11" i="22"/>
  <c r="AF27" i="22"/>
  <c r="AF18" i="22"/>
  <c r="H56" i="22"/>
  <c r="I68" i="22"/>
  <c r="I69" i="22"/>
  <c r="H69" i="22"/>
  <c r="V13" i="22"/>
  <c r="V20" i="22"/>
  <c r="V19" i="22"/>
  <c r="V23" i="22"/>
  <c r="V15" i="22"/>
  <c r="V24" i="22"/>
  <c r="V11" i="22"/>
  <c r="V16" i="22"/>
  <c r="V17" i="22"/>
  <c r="V26" i="22"/>
  <c r="V22" i="22"/>
  <c r="V14" i="22"/>
  <c r="V27" i="22"/>
  <c r="V18" i="22"/>
  <c r="I57" i="22"/>
  <c r="I72" i="22"/>
  <c r="AF35" i="22"/>
  <c r="H59" i="22"/>
  <c r="I56" i="22"/>
  <c r="V12" i="22"/>
  <c r="P57" i="22" l="1"/>
  <c r="P62" i="22"/>
  <c r="P56" i="22"/>
  <c r="P58" i="22"/>
  <c r="P60" i="22"/>
  <c r="P59" i="22"/>
  <c r="R62" i="22"/>
  <c r="R60" i="22"/>
  <c r="R56" i="22"/>
  <c r="R61" i="22"/>
  <c r="R58" i="22"/>
  <c r="R57" i="22"/>
  <c r="BB44" i="22"/>
  <c r="F67" i="22" s="1"/>
  <c r="BB48" i="22"/>
  <c r="F71" i="22" s="1"/>
  <c r="I61" i="22"/>
  <c r="H67" i="22"/>
  <c r="I58" i="22"/>
  <c r="BB42" i="22"/>
  <c r="F65" i="22" s="1"/>
  <c r="BB22" i="22"/>
  <c r="D68" i="22" s="1"/>
  <c r="BB11" i="22"/>
  <c r="D57" i="22" s="1"/>
  <c r="BB16" i="22"/>
  <c r="D62" i="22" s="1"/>
  <c r="BB13" i="22"/>
  <c r="D59" i="22" s="1"/>
  <c r="BB23" i="22"/>
  <c r="D69" i="22" s="1"/>
  <c r="BB10" i="22"/>
  <c r="D56" i="22" s="1"/>
  <c r="BB24" i="22"/>
  <c r="D70" i="22" s="1"/>
  <c r="BB25" i="22"/>
  <c r="D71" i="22" s="1"/>
  <c r="BB14" i="22"/>
  <c r="D60" i="22" s="1"/>
  <c r="BB26" i="22"/>
  <c r="D72" i="22" s="1"/>
  <c r="BB18" i="22"/>
  <c r="D64" i="22" s="1"/>
  <c r="BB19" i="22"/>
  <c r="D65" i="22" s="1"/>
  <c r="BB20" i="22"/>
  <c r="D66" i="22" s="1"/>
  <c r="BB17" i="22"/>
  <c r="D63" i="22" s="1"/>
  <c r="BB27" i="22"/>
  <c r="D73" i="22" s="1"/>
  <c r="I65" i="22"/>
  <c r="C74" i="22"/>
  <c r="E74" i="22"/>
  <c r="I67" i="22"/>
  <c r="H65" i="22"/>
  <c r="BB12" i="22"/>
  <c r="D58" i="22" s="1"/>
  <c r="BB15" i="22"/>
  <c r="D61" i="22" s="1"/>
  <c r="BB43" i="22"/>
  <c r="F66" i="22" s="1"/>
  <c r="BB39" i="22"/>
  <c r="F62" i="22" s="1"/>
  <c r="BB41" i="22"/>
  <c r="F64" i="22" s="1"/>
  <c r="BB33" i="22"/>
  <c r="F56" i="22" s="1"/>
  <c r="BB49" i="22"/>
  <c r="F72" i="22" s="1"/>
  <c r="BB35" i="22"/>
  <c r="F58" i="22" s="1"/>
  <c r="BB37" i="22"/>
  <c r="F60" i="22" s="1"/>
  <c r="BB45" i="22"/>
  <c r="F68" i="22" s="1"/>
  <c r="BB47" i="22"/>
  <c r="F70" i="22" s="1"/>
  <c r="BB50" i="22"/>
  <c r="F73" i="22" s="1"/>
  <c r="BB34" i="22"/>
  <c r="F57" i="22" s="1"/>
  <c r="BB38" i="22"/>
  <c r="F61" i="22" s="1"/>
  <c r="BB40" i="22"/>
  <c r="F63" i="22" s="1"/>
  <c r="BB36" i="22"/>
  <c r="F59" i="22" s="1"/>
  <c r="BB46" i="22"/>
  <c r="F69" i="22" s="1"/>
  <c r="G67" i="22" l="1"/>
  <c r="G71" i="22"/>
  <c r="G66" i="22"/>
  <c r="G62" i="22"/>
  <c r="G69" i="22"/>
  <c r="G57" i="22"/>
  <c r="G72" i="22"/>
  <c r="G64" i="22"/>
  <c r="G68" i="22"/>
  <c r="G61" i="22"/>
  <c r="G60" i="22"/>
  <c r="G56" i="22"/>
  <c r="G70" i="22"/>
  <c r="G59" i="22"/>
  <c r="G73" i="22"/>
  <c r="G63" i="22"/>
  <c r="G58" i="22"/>
  <c r="G65" i="22"/>
</calcChain>
</file>

<file path=xl/sharedStrings.xml><?xml version="1.0" encoding="utf-8"?>
<sst xmlns="http://schemas.openxmlformats.org/spreadsheetml/2006/main" count="165" uniqueCount="55">
  <si>
    <t>Dorsal</t>
  </si>
  <si>
    <t>Nombre</t>
  </si>
  <si>
    <t>Saque</t>
  </si>
  <si>
    <t>Ataque</t>
  </si>
  <si>
    <t>Zaguero</t>
  </si>
  <si>
    <t>Finta</t>
  </si>
  <si>
    <t>Bloqueo</t>
  </si>
  <si>
    <t>Puntos</t>
  </si>
  <si>
    <t>%</t>
  </si>
  <si>
    <t>Contrario</t>
  </si>
  <si>
    <t>Totales</t>
  </si>
  <si>
    <t>ES</t>
  </si>
  <si>
    <t>EA</t>
  </si>
  <si>
    <t>EX</t>
  </si>
  <si>
    <t>Set 1 - Aciertos</t>
  </si>
  <si>
    <t>Set 1 - Errores</t>
  </si>
  <si>
    <t>Gorro</t>
  </si>
  <si>
    <t>Recep</t>
  </si>
  <si>
    <t>A</t>
  </si>
  <si>
    <t>AZ</t>
  </si>
  <si>
    <t>AF</t>
  </si>
  <si>
    <t>Set 2 - Aciertos</t>
  </si>
  <si>
    <t>Set 2 - Errores</t>
  </si>
  <si>
    <t>Set 3 - Aciertos</t>
  </si>
  <si>
    <t>Set 4 - Aciertos</t>
  </si>
  <si>
    <t>Set 3 - Errores</t>
  </si>
  <si>
    <t>Set 4 - Errores</t>
  </si>
  <si>
    <t>Total</t>
  </si>
  <si>
    <t>Positivas</t>
  </si>
  <si>
    <t>Negativas</t>
  </si>
  <si>
    <t>Particp</t>
  </si>
  <si>
    <t>% +</t>
  </si>
  <si>
    <t>% -</t>
  </si>
  <si>
    <t>Acción</t>
  </si>
  <si>
    <t>Sistema estadistico Acción-Punto</t>
  </si>
  <si>
    <t>Equipo</t>
  </si>
  <si>
    <t>Ataque normal</t>
  </si>
  <si>
    <t>Ataque zaguero</t>
  </si>
  <si>
    <t>Ataque finta</t>
  </si>
  <si>
    <t>Error Saque</t>
  </si>
  <si>
    <t>Otros errores</t>
  </si>
  <si>
    <t>Error Ataque</t>
  </si>
  <si>
    <t>Contra:</t>
  </si>
  <si>
    <t>Fecha</t>
  </si>
  <si>
    <t>Lugar</t>
  </si>
  <si>
    <t>Resultado</t>
  </si>
  <si>
    <t xml:space="preserve">Parciales: </t>
  </si>
  <si>
    <t>Eficacia jugador</t>
  </si>
  <si>
    <t>CVR36 SM</t>
  </si>
  <si>
    <t>Set 5 - Aciertos</t>
  </si>
  <si>
    <t>Set 5 - Errores</t>
  </si>
  <si>
    <t>Competición: FAVB</t>
  </si>
  <si>
    <t>Los Palacios</t>
  </si>
  <si>
    <t>Ilias</t>
  </si>
  <si>
    <t>PARA CREAR LAS GRÁFICAS IRA A
 AUTOMATIZAR/SCRIPT
GENERAR GRÁFICAS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</si>
</sst>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Verdana"/>
      <family val="2"/>
    </font>
    <font>
      <sz val="9"/>
      <color rgb="FF000000"/>
      <name val="Arial"/>
      <family val="2"/>
    </font>
    <font>
      <sz val="12"/>
      <color theme="0" tint="-0.249977111117893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6"/>
      <color theme="7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>
      <alignment horizontal="center" vertical="center"/>
    </xf>
  </cellStyleXfs>
  <cellXfs count="1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6" fillId="2" borderId="5" xfId="0" applyFont="1" applyFill="1" applyBorder="1" applyAlignment="1">
      <alignment vertical="center"/>
    </xf>
    <xf numFmtId="2" fontId="0" fillId="0" borderId="15" xfId="0" applyNumberForma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2" borderId="6" xfId="0" applyFont="1" applyFill="1" applyBorder="1" applyAlignment="1">
      <alignment vertical="center"/>
    </xf>
    <xf numFmtId="2" fontId="0" fillId="0" borderId="17" xfId="0" applyNumberFormat="1" applyBorder="1" applyAlignment="1">
      <alignment vertical="center"/>
    </xf>
    <xf numFmtId="0" fontId="0" fillId="0" borderId="16" xfId="0" applyBorder="1" applyAlignment="1">
      <alignment vertical="center"/>
    </xf>
    <xf numFmtId="0" fontId="0" fillId="4" borderId="20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6" fillId="2" borderId="31" xfId="0" applyFont="1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4" xfId="0" applyBorder="1" applyAlignment="1">
      <alignment vertical="center"/>
    </xf>
    <xf numFmtId="2" fontId="0" fillId="0" borderId="35" xfId="0" applyNumberFormat="1" applyBorder="1" applyAlignment="1">
      <alignment vertical="center"/>
    </xf>
    <xf numFmtId="0" fontId="1" fillId="0" borderId="29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2" fontId="1" fillId="0" borderId="27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2" fontId="1" fillId="0" borderId="22" xfId="0" applyNumberFormat="1" applyFont="1" applyBorder="1" applyAlignment="1">
      <alignment vertical="center"/>
    </xf>
    <xf numFmtId="2" fontId="1" fillId="0" borderId="18" xfId="0" applyNumberFormat="1" applyFont="1" applyBorder="1" applyAlignment="1">
      <alignment vertical="center"/>
    </xf>
    <xf numFmtId="2" fontId="1" fillId="0" borderId="25" xfId="0" applyNumberFormat="1" applyFont="1" applyBorder="1" applyAlignment="1">
      <alignment vertical="center"/>
    </xf>
    <xf numFmtId="2" fontId="1" fillId="0" borderId="26" xfId="0" applyNumberFormat="1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" fillId="3" borderId="51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53" xfId="0" applyFont="1" applyFill="1" applyBorder="1" applyAlignment="1">
      <alignment horizontal="center" vertical="center"/>
    </xf>
    <xf numFmtId="0" fontId="1" fillId="0" borderId="36" xfId="0" applyFont="1" applyBorder="1" applyAlignment="1">
      <alignment vertical="center"/>
    </xf>
    <xf numFmtId="0" fontId="1" fillId="0" borderId="55" xfId="0" applyFont="1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2" fontId="0" fillId="0" borderId="5" xfId="0" applyNumberFormat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2" fontId="0" fillId="0" borderId="6" xfId="0" applyNumberFormat="1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8" xfId="0" applyBorder="1" applyAlignment="1">
      <alignment vertical="center"/>
    </xf>
    <xf numFmtId="2" fontId="0" fillId="0" borderId="8" xfId="0" applyNumberFormat="1" applyBorder="1" applyAlignment="1">
      <alignment vertical="center"/>
    </xf>
    <xf numFmtId="2" fontId="0" fillId="0" borderId="57" xfId="0" applyNumberForma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59" xfId="0" applyFont="1" applyBorder="1" applyAlignment="1">
      <alignment vertical="center"/>
    </xf>
    <xf numFmtId="0" fontId="1" fillId="0" borderId="50" xfId="0" applyFont="1" applyBorder="1" applyAlignment="1">
      <alignment vertical="center"/>
    </xf>
    <xf numFmtId="2" fontId="1" fillId="0" borderId="50" xfId="0" applyNumberFormat="1" applyFont="1" applyBorder="1" applyAlignment="1">
      <alignment vertical="center"/>
    </xf>
    <xf numFmtId="0" fontId="1" fillId="0" borderId="58" xfId="0" applyFont="1" applyBorder="1" applyAlignment="1">
      <alignment vertical="center"/>
    </xf>
    <xf numFmtId="2" fontId="0" fillId="0" borderId="7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5" xfId="0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0" fontId="1" fillId="0" borderId="44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16" fontId="0" fillId="0" borderId="2" xfId="0" quotePrefix="1" applyNumberFormat="1" applyBorder="1" applyAlignment="1">
      <alignment vertical="center"/>
    </xf>
    <xf numFmtId="0" fontId="0" fillId="0" borderId="0" xfId="0" applyAlignment="1">
      <alignment horizontal="left" vertical="center"/>
    </xf>
    <xf numFmtId="1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1" fillId="3" borderId="5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61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5" borderId="32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5" borderId="62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</cellXfs>
  <cellStyles count="4">
    <cellStyle name="Hipervínculo" xfId="1" builtinId="8" hidden="1"/>
    <cellStyle name="Hipervínculo visitado" xfId="2" builtinId="9" hidden="1"/>
    <cellStyle name="Normal" xfId="0" builtinId="0"/>
    <cellStyle name="Normal 2" xfId="3" xr:uid="{6DC8376A-363D-4B3C-8DDC-6A1229418A0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B74"/>
  <sheetViews>
    <sheetView showGridLines="0" showZeros="0" tabSelected="1" topLeftCell="A44" zoomScale="84" zoomScaleNormal="80" workbookViewId="0">
      <pane xSplit="1" topLeftCell="B1" activePane="topRight" state="frozen"/>
      <selection pane="topRight" activeCell="M74" sqref="M74"/>
    </sheetView>
  </sheetViews>
  <sheetFormatPr baseColWidth="10" defaultRowHeight="15.75" x14ac:dyDescent="0.25"/>
  <cols>
    <col min="1" max="1" width="6.5" style="6" customWidth="1"/>
    <col min="2" max="2" width="19.5" style="1" customWidth="1"/>
    <col min="3" max="61" width="7.125" style="1" customWidth="1"/>
    <col min="62" max="16384" width="11" style="1"/>
  </cols>
  <sheetData>
    <row r="2" spans="1:54" x14ac:dyDescent="0.25">
      <c r="A2" s="88" t="s">
        <v>34</v>
      </c>
      <c r="B2" s="88"/>
      <c r="C2" s="88"/>
    </row>
    <row r="4" spans="1:54" x14ac:dyDescent="0.25">
      <c r="A4" s="2" t="s">
        <v>35</v>
      </c>
      <c r="B4" s="1" t="s">
        <v>48</v>
      </c>
      <c r="H4" s="1" t="s">
        <v>43</v>
      </c>
      <c r="I4" s="89"/>
      <c r="J4" s="90"/>
      <c r="K4" s="91"/>
      <c r="M4" s="1" t="s">
        <v>44</v>
      </c>
      <c r="N4" s="3"/>
      <c r="O4" s="4"/>
      <c r="P4" s="4"/>
      <c r="Q4" s="4"/>
      <c r="R4" s="4"/>
      <c r="S4" s="5"/>
      <c r="U4" s="1" t="s">
        <v>45</v>
      </c>
      <c r="W4" s="87"/>
      <c r="X4" s="5"/>
    </row>
    <row r="6" spans="1:54" x14ac:dyDescent="0.25">
      <c r="A6" s="100" t="s">
        <v>51</v>
      </c>
      <c r="B6" s="101"/>
      <c r="C6" s="101"/>
      <c r="D6" s="101"/>
      <c r="E6" s="101"/>
      <c r="F6" s="102"/>
      <c r="H6" s="1" t="s">
        <v>42</v>
      </c>
      <c r="I6" s="3" t="s">
        <v>52</v>
      </c>
      <c r="J6" s="4"/>
      <c r="K6" s="4"/>
      <c r="L6" s="4"/>
      <c r="M6" s="4"/>
      <c r="N6" s="4"/>
      <c r="O6" s="5"/>
      <c r="Q6" s="1" t="s">
        <v>46</v>
      </c>
      <c r="S6" s="3"/>
      <c r="T6" s="4"/>
      <c r="U6" s="4"/>
      <c r="V6" s="4"/>
      <c r="W6" s="4"/>
      <c r="X6" s="5"/>
    </row>
    <row r="7" spans="1:54" ht="16.5" thickBot="1" x14ac:dyDescent="0.3"/>
    <row r="8" spans="1:54" s="7" customFormat="1" ht="16.5" thickBot="1" x14ac:dyDescent="0.3">
      <c r="A8" s="6"/>
      <c r="C8" s="94" t="s">
        <v>14</v>
      </c>
      <c r="D8" s="95"/>
      <c r="E8" s="95"/>
      <c r="F8" s="95"/>
      <c r="G8" s="95"/>
      <c r="H8" s="95"/>
      <c r="I8" s="95"/>
      <c r="J8" s="95"/>
      <c r="K8" s="95"/>
      <c r="L8" s="96"/>
      <c r="M8" s="97" t="s">
        <v>21</v>
      </c>
      <c r="N8" s="98"/>
      <c r="O8" s="98"/>
      <c r="P8" s="98"/>
      <c r="Q8" s="98"/>
      <c r="R8" s="98"/>
      <c r="S8" s="98"/>
      <c r="T8" s="98"/>
      <c r="U8" s="98"/>
      <c r="V8" s="99"/>
      <c r="W8" s="97" t="s">
        <v>23</v>
      </c>
      <c r="X8" s="98"/>
      <c r="Y8" s="98"/>
      <c r="Z8" s="98"/>
      <c r="AA8" s="98"/>
      <c r="AB8" s="98"/>
      <c r="AC8" s="98"/>
      <c r="AD8" s="98"/>
      <c r="AE8" s="98"/>
      <c r="AF8" s="99"/>
      <c r="AG8" s="97" t="s">
        <v>24</v>
      </c>
      <c r="AH8" s="98"/>
      <c r="AI8" s="98"/>
      <c r="AJ8" s="98"/>
      <c r="AK8" s="98"/>
      <c r="AL8" s="98"/>
      <c r="AM8" s="98"/>
      <c r="AN8" s="98"/>
      <c r="AO8" s="98"/>
      <c r="AP8" s="99"/>
      <c r="AQ8" s="97" t="s">
        <v>49</v>
      </c>
      <c r="AR8" s="98"/>
      <c r="AS8" s="98"/>
      <c r="AT8" s="98"/>
      <c r="AU8" s="98"/>
      <c r="AV8" s="98"/>
      <c r="AW8" s="98"/>
      <c r="AX8" s="98"/>
      <c r="AY8" s="98"/>
      <c r="AZ8" s="99"/>
      <c r="BA8" s="97" t="s">
        <v>27</v>
      </c>
      <c r="BB8" s="99"/>
    </row>
    <row r="9" spans="1:54" s="14" customFormat="1" x14ac:dyDescent="0.25">
      <c r="A9" s="8" t="s">
        <v>0</v>
      </c>
      <c r="B9" s="9" t="s">
        <v>1</v>
      </c>
      <c r="C9" s="10" t="s">
        <v>2</v>
      </c>
      <c r="D9" s="11" t="s">
        <v>3</v>
      </c>
      <c r="E9" s="11" t="s">
        <v>4</v>
      </c>
      <c r="F9" s="11" t="s">
        <v>5</v>
      </c>
      <c r="G9" s="11" t="s">
        <v>6</v>
      </c>
      <c r="H9" s="11" t="s">
        <v>11</v>
      </c>
      <c r="I9" s="11" t="s">
        <v>12</v>
      </c>
      <c r="J9" s="11" t="s">
        <v>13</v>
      </c>
      <c r="K9" s="11" t="s">
        <v>7</v>
      </c>
      <c r="L9" s="12" t="s">
        <v>8</v>
      </c>
      <c r="M9" s="10" t="s">
        <v>2</v>
      </c>
      <c r="N9" s="11" t="s">
        <v>3</v>
      </c>
      <c r="O9" s="11" t="s">
        <v>4</v>
      </c>
      <c r="P9" s="11" t="s">
        <v>5</v>
      </c>
      <c r="Q9" s="11" t="s">
        <v>6</v>
      </c>
      <c r="R9" s="11" t="s">
        <v>11</v>
      </c>
      <c r="S9" s="11" t="s">
        <v>12</v>
      </c>
      <c r="T9" s="11" t="s">
        <v>13</v>
      </c>
      <c r="U9" s="11" t="s">
        <v>7</v>
      </c>
      <c r="V9" s="12" t="s">
        <v>8</v>
      </c>
      <c r="W9" s="10" t="s">
        <v>2</v>
      </c>
      <c r="X9" s="11" t="s">
        <v>3</v>
      </c>
      <c r="Y9" s="11" t="s">
        <v>4</v>
      </c>
      <c r="Z9" s="11" t="s">
        <v>5</v>
      </c>
      <c r="AA9" s="11" t="s">
        <v>6</v>
      </c>
      <c r="AB9" s="11" t="s">
        <v>11</v>
      </c>
      <c r="AC9" s="11" t="s">
        <v>12</v>
      </c>
      <c r="AD9" s="11" t="s">
        <v>13</v>
      </c>
      <c r="AE9" s="11" t="s">
        <v>7</v>
      </c>
      <c r="AF9" s="12" t="s">
        <v>8</v>
      </c>
      <c r="AG9" s="10" t="s">
        <v>2</v>
      </c>
      <c r="AH9" s="11" t="s">
        <v>3</v>
      </c>
      <c r="AI9" s="11" t="s">
        <v>4</v>
      </c>
      <c r="AJ9" s="11" t="s">
        <v>5</v>
      </c>
      <c r="AK9" s="11" t="s">
        <v>6</v>
      </c>
      <c r="AL9" s="11" t="s">
        <v>11</v>
      </c>
      <c r="AM9" s="11" t="s">
        <v>12</v>
      </c>
      <c r="AN9" s="11" t="s">
        <v>13</v>
      </c>
      <c r="AO9" s="11" t="s">
        <v>7</v>
      </c>
      <c r="AP9" s="12" t="s">
        <v>8</v>
      </c>
      <c r="AQ9" s="10" t="s">
        <v>2</v>
      </c>
      <c r="AR9" s="11" t="s">
        <v>3</v>
      </c>
      <c r="AS9" s="11" t="s">
        <v>4</v>
      </c>
      <c r="AT9" s="11" t="s">
        <v>5</v>
      </c>
      <c r="AU9" s="11" t="s">
        <v>6</v>
      </c>
      <c r="AV9" s="11" t="s">
        <v>11</v>
      </c>
      <c r="AW9" s="11" t="s">
        <v>12</v>
      </c>
      <c r="AX9" s="11" t="s">
        <v>13</v>
      </c>
      <c r="AY9" s="11" t="s">
        <v>7</v>
      </c>
      <c r="AZ9" s="12" t="s">
        <v>8</v>
      </c>
      <c r="BA9" s="13" t="s">
        <v>7</v>
      </c>
      <c r="BB9" s="12" t="s">
        <v>8</v>
      </c>
    </row>
    <row r="10" spans="1:54" x14ac:dyDescent="0.25">
      <c r="A10" s="20">
        <v>1</v>
      </c>
      <c r="B10" s="55" t="s">
        <v>53</v>
      </c>
      <c r="C10" s="15"/>
      <c r="D10" s="16"/>
      <c r="E10" s="16"/>
      <c r="F10" s="16">
        <v>2</v>
      </c>
      <c r="G10" s="16"/>
      <c r="H10" s="17"/>
      <c r="I10" s="17"/>
      <c r="J10" s="17"/>
      <c r="K10" s="16">
        <f>SUM(C10:J10)</f>
        <v>2</v>
      </c>
      <c r="L10" s="18">
        <f t="shared" ref="L10:L27" si="0">+K10*100/K$28</f>
        <v>25</v>
      </c>
      <c r="M10" s="15"/>
      <c r="N10" s="16"/>
      <c r="O10" s="16"/>
      <c r="P10" s="16"/>
      <c r="Q10" s="16"/>
      <c r="R10" s="17"/>
      <c r="S10" s="17"/>
      <c r="T10" s="17"/>
      <c r="U10" s="16">
        <f>SUM(M10:T10)</f>
        <v>0</v>
      </c>
      <c r="V10" s="18" t="e">
        <f t="shared" ref="V10:V27" si="1">+U10*100/U$28</f>
        <v>#DIV/0!</v>
      </c>
      <c r="W10" s="15"/>
      <c r="X10" s="16"/>
      <c r="Y10" s="16"/>
      <c r="Z10" s="16"/>
      <c r="AA10" s="16"/>
      <c r="AB10" s="17"/>
      <c r="AC10" s="17"/>
      <c r="AD10" s="17"/>
      <c r="AE10" s="16">
        <f>SUM(W10:AD10)</f>
        <v>0</v>
      </c>
      <c r="AF10" s="18" t="e">
        <f t="shared" ref="AF10:AF27" si="2">+AE10*100/AE$28</f>
        <v>#DIV/0!</v>
      </c>
      <c r="AG10" s="15"/>
      <c r="AH10" s="16"/>
      <c r="AI10" s="16"/>
      <c r="AJ10" s="16"/>
      <c r="AK10" s="16"/>
      <c r="AL10" s="17"/>
      <c r="AM10" s="17"/>
      <c r="AN10" s="17"/>
      <c r="AO10" s="16">
        <f>SUM(AG10:AN10)</f>
        <v>0</v>
      </c>
      <c r="AP10" s="18" t="e">
        <f t="shared" ref="AP10:AP27" si="3">+AO10*100/AO$28</f>
        <v>#DIV/0!</v>
      </c>
      <c r="AQ10" s="15"/>
      <c r="AR10" s="16"/>
      <c r="AS10" s="16"/>
      <c r="AT10" s="16"/>
      <c r="AU10" s="16"/>
      <c r="AV10" s="17"/>
      <c r="AW10" s="17"/>
      <c r="AX10" s="17"/>
      <c r="AY10" s="16">
        <f>SUM(AQ10:AX10)</f>
        <v>0</v>
      </c>
      <c r="AZ10" s="18" t="e">
        <f t="shared" ref="AZ10:AZ27" si="4">+AY10*100/AY$28</f>
        <v>#DIV/0!</v>
      </c>
      <c r="BA10" s="19">
        <f t="shared" ref="BA10:BA28" si="5">+AY10+AO10+AE10+U10+K10</f>
        <v>2</v>
      </c>
      <c r="BB10" s="18">
        <f t="shared" ref="BB10:BB27" si="6">+BA10*100/$BA$28</f>
        <v>25</v>
      </c>
    </row>
    <row r="11" spans="1:54" x14ac:dyDescent="0.25">
      <c r="A11" s="20">
        <v>19</v>
      </c>
      <c r="B11" s="55"/>
      <c r="C11" s="21"/>
      <c r="D11" s="16">
        <v>2</v>
      </c>
      <c r="E11" s="22"/>
      <c r="F11" s="22"/>
      <c r="G11" s="22"/>
      <c r="H11" s="23"/>
      <c r="I11" s="23"/>
      <c r="J11" s="23"/>
      <c r="K11" s="22">
        <f t="shared" ref="K11:K27" si="7">SUM(C11:J11)</f>
        <v>2</v>
      </c>
      <c r="L11" s="24">
        <f t="shared" si="0"/>
        <v>25</v>
      </c>
      <c r="M11" s="21"/>
      <c r="N11" s="22"/>
      <c r="O11" s="22"/>
      <c r="P11" s="22"/>
      <c r="Q11" s="22"/>
      <c r="R11" s="23"/>
      <c r="S11" s="23"/>
      <c r="T11" s="23"/>
      <c r="U11" s="22">
        <f t="shared" ref="U11:U22" si="8">SUM(M11:T11)</f>
        <v>0</v>
      </c>
      <c r="V11" s="24" t="e">
        <f t="shared" si="1"/>
        <v>#DIV/0!</v>
      </c>
      <c r="W11" s="21"/>
      <c r="X11" s="22"/>
      <c r="Y11" s="22"/>
      <c r="Z11" s="22"/>
      <c r="AA11" s="22"/>
      <c r="AB11" s="23"/>
      <c r="AC11" s="23"/>
      <c r="AD11" s="23"/>
      <c r="AE11" s="22">
        <f t="shared" ref="AE11:AE23" si="9">SUM(W11:AD11)</f>
        <v>0</v>
      </c>
      <c r="AF11" s="24" t="e">
        <f t="shared" si="2"/>
        <v>#DIV/0!</v>
      </c>
      <c r="AG11" s="21"/>
      <c r="AH11" s="22"/>
      <c r="AI11" s="22"/>
      <c r="AJ11" s="22"/>
      <c r="AK11" s="22"/>
      <c r="AL11" s="23"/>
      <c r="AM11" s="23"/>
      <c r="AN11" s="23"/>
      <c r="AO11" s="22">
        <f t="shared" ref="AO11:AO23" si="10">SUM(AG11:AN11)</f>
        <v>0</v>
      </c>
      <c r="AP11" s="24" t="e">
        <f t="shared" si="3"/>
        <v>#DIV/0!</v>
      </c>
      <c r="AQ11" s="21"/>
      <c r="AR11" s="22"/>
      <c r="AS11" s="22"/>
      <c r="AT11" s="22"/>
      <c r="AU11" s="22"/>
      <c r="AV11" s="23"/>
      <c r="AW11" s="23"/>
      <c r="AX11" s="23"/>
      <c r="AY11" s="22">
        <f t="shared" ref="AY11:AY23" si="11">SUM(AQ11:AX11)</f>
        <v>0</v>
      </c>
      <c r="AZ11" s="24" t="e">
        <f t="shared" si="4"/>
        <v>#DIV/0!</v>
      </c>
      <c r="BA11" s="25">
        <f t="shared" si="5"/>
        <v>2</v>
      </c>
      <c r="BB11" s="24">
        <f t="shared" si="6"/>
        <v>25</v>
      </c>
    </row>
    <row r="12" spans="1:54" x14ac:dyDescent="0.25">
      <c r="A12" s="20">
        <v>21</v>
      </c>
      <c r="B12" s="55"/>
      <c r="C12" s="21"/>
      <c r="D12" s="16"/>
      <c r="E12" s="22"/>
      <c r="F12" s="22"/>
      <c r="G12" s="22"/>
      <c r="H12" s="23"/>
      <c r="I12" s="23"/>
      <c r="J12" s="23"/>
      <c r="K12" s="22">
        <f t="shared" si="7"/>
        <v>0</v>
      </c>
      <c r="L12" s="24">
        <f t="shared" si="0"/>
        <v>0</v>
      </c>
      <c r="M12" s="21"/>
      <c r="N12" s="22"/>
      <c r="O12" s="22"/>
      <c r="P12" s="22"/>
      <c r="Q12" s="22"/>
      <c r="R12" s="23"/>
      <c r="S12" s="23"/>
      <c r="T12" s="23"/>
      <c r="U12" s="22">
        <f t="shared" si="8"/>
        <v>0</v>
      </c>
      <c r="V12" s="24" t="e">
        <f t="shared" si="1"/>
        <v>#DIV/0!</v>
      </c>
      <c r="W12" s="21"/>
      <c r="X12" s="22"/>
      <c r="Y12" s="22"/>
      <c r="Z12" s="22"/>
      <c r="AA12" s="22"/>
      <c r="AB12" s="23"/>
      <c r="AC12" s="23"/>
      <c r="AD12" s="23"/>
      <c r="AE12" s="22">
        <f t="shared" si="9"/>
        <v>0</v>
      </c>
      <c r="AF12" s="24" t="e">
        <f t="shared" si="2"/>
        <v>#DIV/0!</v>
      </c>
      <c r="AG12" s="21"/>
      <c r="AH12" s="22"/>
      <c r="AI12" s="22"/>
      <c r="AJ12" s="22"/>
      <c r="AK12" s="22"/>
      <c r="AL12" s="23"/>
      <c r="AM12" s="23"/>
      <c r="AN12" s="23"/>
      <c r="AO12" s="22">
        <f t="shared" si="10"/>
        <v>0</v>
      </c>
      <c r="AP12" s="24" t="e">
        <f t="shared" si="3"/>
        <v>#DIV/0!</v>
      </c>
      <c r="AQ12" s="21"/>
      <c r="AR12" s="22"/>
      <c r="AS12" s="22"/>
      <c r="AT12" s="22"/>
      <c r="AU12" s="22"/>
      <c r="AV12" s="23"/>
      <c r="AW12" s="23"/>
      <c r="AX12" s="23"/>
      <c r="AY12" s="22">
        <f t="shared" si="11"/>
        <v>0</v>
      </c>
      <c r="AZ12" s="24" t="e">
        <f t="shared" si="4"/>
        <v>#DIV/0!</v>
      </c>
      <c r="BA12" s="25">
        <f t="shared" si="5"/>
        <v>0</v>
      </c>
      <c r="BB12" s="24">
        <f t="shared" si="6"/>
        <v>0</v>
      </c>
    </row>
    <row r="13" spans="1:54" x14ac:dyDescent="0.25">
      <c r="A13" s="20">
        <v>2</v>
      </c>
      <c r="B13" s="55"/>
      <c r="C13" s="21"/>
      <c r="D13" s="16"/>
      <c r="E13" s="22"/>
      <c r="F13" s="22"/>
      <c r="G13" s="22"/>
      <c r="H13" s="23"/>
      <c r="I13" s="23"/>
      <c r="J13" s="23"/>
      <c r="K13" s="22">
        <f t="shared" si="7"/>
        <v>0</v>
      </c>
      <c r="L13" s="24">
        <f t="shared" si="0"/>
        <v>0</v>
      </c>
      <c r="M13" s="21"/>
      <c r="N13" s="22"/>
      <c r="O13" s="22"/>
      <c r="P13" s="22"/>
      <c r="Q13" s="22"/>
      <c r="R13" s="23"/>
      <c r="S13" s="23"/>
      <c r="T13" s="23"/>
      <c r="U13" s="22">
        <f t="shared" si="8"/>
        <v>0</v>
      </c>
      <c r="V13" s="24" t="e">
        <f t="shared" si="1"/>
        <v>#DIV/0!</v>
      </c>
      <c r="W13" s="21"/>
      <c r="X13" s="22"/>
      <c r="Y13" s="22"/>
      <c r="Z13" s="22"/>
      <c r="AA13" s="22"/>
      <c r="AB13" s="23"/>
      <c r="AC13" s="23"/>
      <c r="AD13" s="23"/>
      <c r="AE13" s="22">
        <f t="shared" si="9"/>
        <v>0</v>
      </c>
      <c r="AF13" s="24" t="e">
        <f t="shared" si="2"/>
        <v>#DIV/0!</v>
      </c>
      <c r="AG13" s="21"/>
      <c r="AH13" s="22"/>
      <c r="AI13" s="22"/>
      <c r="AJ13" s="22"/>
      <c r="AK13" s="22"/>
      <c r="AL13" s="23"/>
      <c r="AM13" s="23"/>
      <c r="AN13" s="23"/>
      <c r="AO13" s="22">
        <f t="shared" si="10"/>
        <v>0</v>
      </c>
      <c r="AP13" s="24" t="e">
        <f t="shared" si="3"/>
        <v>#DIV/0!</v>
      </c>
      <c r="AQ13" s="21"/>
      <c r="AR13" s="22"/>
      <c r="AS13" s="22"/>
      <c r="AT13" s="22"/>
      <c r="AU13" s="22"/>
      <c r="AV13" s="23"/>
      <c r="AW13" s="23"/>
      <c r="AX13" s="23"/>
      <c r="AY13" s="22">
        <f t="shared" si="11"/>
        <v>0</v>
      </c>
      <c r="AZ13" s="24" t="e">
        <f t="shared" si="4"/>
        <v>#DIV/0!</v>
      </c>
      <c r="BA13" s="25">
        <f t="shared" si="5"/>
        <v>0</v>
      </c>
      <c r="BB13" s="24">
        <f t="shared" si="6"/>
        <v>0</v>
      </c>
    </row>
    <row r="14" spans="1:54" x14ac:dyDescent="0.25">
      <c r="A14" s="20">
        <v>4</v>
      </c>
      <c r="B14" s="55"/>
      <c r="C14" s="21"/>
      <c r="D14" s="16"/>
      <c r="E14" s="22"/>
      <c r="F14" s="22"/>
      <c r="G14" s="22"/>
      <c r="H14" s="23"/>
      <c r="I14" s="23"/>
      <c r="J14" s="23"/>
      <c r="K14" s="22">
        <f t="shared" si="7"/>
        <v>0</v>
      </c>
      <c r="L14" s="24">
        <f t="shared" si="0"/>
        <v>0</v>
      </c>
      <c r="M14" s="21"/>
      <c r="N14" s="22"/>
      <c r="O14" s="22"/>
      <c r="P14" s="22"/>
      <c r="Q14" s="22"/>
      <c r="R14" s="23"/>
      <c r="S14" s="23"/>
      <c r="T14" s="23"/>
      <c r="U14" s="22">
        <f t="shared" si="8"/>
        <v>0</v>
      </c>
      <c r="V14" s="24" t="e">
        <f t="shared" si="1"/>
        <v>#DIV/0!</v>
      </c>
      <c r="W14" s="21"/>
      <c r="X14" s="22"/>
      <c r="Y14" s="22"/>
      <c r="Z14" s="22"/>
      <c r="AA14" s="22"/>
      <c r="AB14" s="23"/>
      <c r="AC14" s="23"/>
      <c r="AD14" s="23"/>
      <c r="AE14" s="22">
        <f t="shared" si="9"/>
        <v>0</v>
      </c>
      <c r="AF14" s="24" t="e">
        <f t="shared" si="2"/>
        <v>#DIV/0!</v>
      </c>
      <c r="AG14" s="21"/>
      <c r="AH14" s="22"/>
      <c r="AI14" s="22"/>
      <c r="AJ14" s="22"/>
      <c r="AK14" s="22"/>
      <c r="AL14" s="23"/>
      <c r="AM14" s="23"/>
      <c r="AN14" s="23"/>
      <c r="AO14" s="22">
        <f t="shared" si="10"/>
        <v>0</v>
      </c>
      <c r="AP14" s="24" t="e">
        <f t="shared" si="3"/>
        <v>#DIV/0!</v>
      </c>
      <c r="AQ14" s="21"/>
      <c r="AR14" s="22"/>
      <c r="AS14" s="22"/>
      <c r="AT14" s="22"/>
      <c r="AU14" s="22"/>
      <c r="AV14" s="23"/>
      <c r="AW14" s="23"/>
      <c r="AX14" s="23"/>
      <c r="AY14" s="22">
        <f t="shared" si="11"/>
        <v>0</v>
      </c>
      <c r="AZ14" s="24" t="e">
        <f t="shared" si="4"/>
        <v>#DIV/0!</v>
      </c>
      <c r="BA14" s="25">
        <f t="shared" si="5"/>
        <v>0</v>
      </c>
      <c r="BB14" s="24">
        <f t="shared" si="6"/>
        <v>0</v>
      </c>
    </row>
    <row r="15" spans="1:54" x14ac:dyDescent="0.25">
      <c r="A15" s="20">
        <v>10</v>
      </c>
      <c r="B15" s="55"/>
      <c r="C15" s="21"/>
      <c r="D15" s="16"/>
      <c r="E15" s="22"/>
      <c r="F15" s="22"/>
      <c r="G15" s="22"/>
      <c r="H15" s="23"/>
      <c r="I15" s="23"/>
      <c r="J15" s="23"/>
      <c r="K15" s="22">
        <f t="shared" si="7"/>
        <v>0</v>
      </c>
      <c r="L15" s="24">
        <f t="shared" si="0"/>
        <v>0</v>
      </c>
      <c r="M15" s="21"/>
      <c r="N15" s="22"/>
      <c r="O15" s="22"/>
      <c r="P15" s="22"/>
      <c r="Q15" s="22"/>
      <c r="R15" s="23"/>
      <c r="S15" s="23"/>
      <c r="T15" s="23"/>
      <c r="U15" s="22">
        <f t="shared" si="8"/>
        <v>0</v>
      </c>
      <c r="V15" s="24" t="e">
        <f t="shared" si="1"/>
        <v>#DIV/0!</v>
      </c>
      <c r="W15" s="21"/>
      <c r="X15" s="22"/>
      <c r="Y15" s="22"/>
      <c r="Z15" s="22"/>
      <c r="AA15" s="22"/>
      <c r="AB15" s="23"/>
      <c r="AC15" s="23"/>
      <c r="AD15" s="23"/>
      <c r="AE15" s="22">
        <f t="shared" si="9"/>
        <v>0</v>
      </c>
      <c r="AF15" s="24" t="e">
        <f t="shared" si="2"/>
        <v>#DIV/0!</v>
      </c>
      <c r="AG15" s="21"/>
      <c r="AH15" s="22"/>
      <c r="AI15" s="22"/>
      <c r="AJ15" s="22"/>
      <c r="AK15" s="22"/>
      <c r="AL15" s="23"/>
      <c r="AM15" s="23"/>
      <c r="AN15" s="23"/>
      <c r="AO15" s="22">
        <f t="shared" si="10"/>
        <v>0</v>
      </c>
      <c r="AP15" s="24" t="e">
        <f t="shared" si="3"/>
        <v>#DIV/0!</v>
      </c>
      <c r="AQ15" s="21"/>
      <c r="AR15" s="22"/>
      <c r="AS15" s="22"/>
      <c r="AT15" s="22"/>
      <c r="AU15" s="22"/>
      <c r="AV15" s="23"/>
      <c r="AW15" s="23"/>
      <c r="AX15" s="23"/>
      <c r="AY15" s="22">
        <f t="shared" si="11"/>
        <v>0</v>
      </c>
      <c r="AZ15" s="24" t="e">
        <f t="shared" si="4"/>
        <v>#DIV/0!</v>
      </c>
      <c r="BA15" s="25">
        <f t="shared" si="5"/>
        <v>0</v>
      </c>
      <c r="BB15" s="24">
        <f t="shared" si="6"/>
        <v>0</v>
      </c>
    </row>
    <row r="16" spans="1:54" x14ac:dyDescent="0.25">
      <c r="A16" s="20">
        <v>13</v>
      </c>
      <c r="B16" s="55"/>
      <c r="C16" s="21"/>
      <c r="D16" s="16"/>
      <c r="E16" s="22"/>
      <c r="F16" s="22"/>
      <c r="G16" s="22"/>
      <c r="H16" s="23"/>
      <c r="I16" s="23"/>
      <c r="J16" s="23"/>
      <c r="K16" s="22">
        <f t="shared" ref="K16" si="12">SUM(C16:J16)</f>
        <v>0</v>
      </c>
      <c r="L16" s="24">
        <f t="shared" si="0"/>
        <v>0</v>
      </c>
      <c r="M16" s="21"/>
      <c r="N16" s="22"/>
      <c r="O16" s="22"/>
      <c r="P16" s="22"/>
      <c r="Q16" s="22"/>
      <c r="R16" s="23"/>
      <c r="S16" s="23"/>
      <c r="T16" s="23"/>
      <c r="U16" s="22">
        <f t="shared" ref="U16" si="13">SUM(M16:T16)</f>
        <v>0</v>
      </c>
      <c r="V16" s="24" t="e">
        <f t="shared" si="1"/>
        <v>#DIV/0!</v>
      </c>
      <c r="W16" s="21"/>
      <c r="X16" s="22"/>
      <c r="Y16" s="22"/>
      <c r="Z16" s="22"/>
      <c r="AA16" s="22"/>
      <c r="AB16" s="23"/>
      <c r="AC16" s="23"/>
      <c r="AD16" s="23"/>
      <c r="AE16" s="22">
        <f t="shared" ref="AE16" si="14">SUM(W16:AD16)</f>
        <v>0</v>
      </c>
      <c r="AF16" s="24" t="e">
        <f t="shared" si="2"/>
        <v>#DIV/0!</v>
      </c>
      <c r="AG16" s="21"/>
      <c r="AH16" s="22"/>
      <c r="AI16" s="22"/>
      <c r="AJ16" s="22"/>
      <c r="AK16" s="22"/>
      <c r="AL16" s="23"/>
      <c r="AM16" s="23"/>
      <c r="AN16" s="23"/>
      <c r="AO16" s="22">
        <f t="shared" ref="AO16" si="15">SUM(AG16:AN16)</f>
        <v>0</v>
      </c>
      <c r="AP16" s="24" t="e">
        <f t="shared" si="3"/>
        <v>#DIV/0!</v>
      </c>
      <c r="AQ16" s="21"/>
      <c r="AR16" s="22"/>
      <c r="AS16" s="22"/>
      <c r="AT16" s="22"/>
      <c r="AU16" s="22"/>
      <c r="AV16" s="23"/>
      <c r="AW16" s="23"/>
      <c r="AX16" s="23"/>
      <c r="AY16" s="22">
        <f t="shared" ref="AY16" si="16">SUM(AQ16:AX16)</f>
        <v>0</v>
      </c>
      <c r="AZ16" s="24" t="e">
        <f t="shared" si="4"/>
        <v>#DIV/0!</v>
      </c>
      <c r="BA16" s="25">
        <f t="shared" ref="BA16" si="17">+AY16+AO16+AE16+U16+K16</f>
        <v>0</v>
      </c>
      <c r="BB16" s="24">
        <f t="shared" si="6"/>
        <v>0</v>
      </c>
    </row>
    <row r="17" spans="1:54" x14ac:dyDescent="0.25">
      <c r="A17" s="20">
        <v>12</v>
      </c>
      <c r="B17" s="55"/>
      <c r="C17" s="21"/>
      <c r="D17" s="16"/>
      <c r="E17" s="22"/>
      <c r="F17" s="22"/>
      <c r="G17" s="22">
        <v>2</v>
      </c>
      <c r="H17" s="23"/>
      <c r="I17" s="23"/>
      <c r="J17" s="23"/>
      <c r="K17" s="22">
        <f t="shared" si="7"/>
        <v>2</v>
      </c>
      <c r="L17" s="24">
        <f t="shared" si="0"/>
        <v>25</v>
      </c>
      <c r="M17" s="21"/>
      <c r="N17" s="22"/>
      <c r="O17" s="22"/>
      <c r="P17" s="22"/>
      <c r="Q17" s="22"/>
      <c r="R17" s="23"/>
      <c r="S17" s="23"/>
      <c r="T17" s="23"/>
      <c r="U17" s="22">
        <f t="shared" si="8"/>
        <v>0</v>
      </c>
      <c r="V17" s="24" t="e">
        <f t="shared" si="1"/>
        <v>#DIV/0!</v>
      </c>
      <c r="W17" s="21"/>
      <c r="X17" s="22"/>
      <c r="Y17" s="22"/>
      <c r="Z17" s="22"/>
      <c r="AA17" s="22"/>
      <c r="AB17" s="23"/>
      <c r="AC17" s="23"/>
      <c r="AD17" s="23"/>
      <c r="AE17" s="22">
        <f t="shared" si="9"/>
        <v>0</v>
      </c>
      <c r="AF17" s="24" t="e">
        <f t="shared" si="2"/>
        <v>#DIV/0!</v>
      </c>
      <c r="AG17" s="21"/>
      <c r="AH17" s="22"/>
      <c r="AI17" s="22"/>
      <c r="AJ17" s="22"/>
      <c r="AK17" s="22"/>
      <c r="AL17" s="23"/>
      <c r="AM17" s="23"/>
      <c r="AN17" s="23"/>
      <c r="AO17" s="22">
        <f t="shared" si="10"/>
        <v>0</v>
      </c>
      <c r="AP17" s="24" t="e">
        <f t="shared" si="3"/>
        <v>#DIV/0!</v>
      </c>
      <c r="AQ17" s="21"/>
      <c r="AR17" s="22"/>
      <c r="AS17" s="22"/>
      <c r="AT17" s="22"/>
      <c r="AU17" s="22"/>
      <c r="AV17" s="23"/>
      <c r="AW17" s="23"/>
      <c r="AX17" s="23"/>
      <c r="AY17" s="22">
        <f t="shared" si="11"/>
        <v>0</v>
      </c>
      <c r="AZ17" s="24" t="e">
        <f t="shared" si="4"/>
        <v>#DIV/0!</v>
      </c>
      <c r="BA17" s="25">
        <f t="shared" si="5"/>
        <v>2</v>
      </c>
      <c r="BB17" s="24">
        <f t="shared" si="6"/>
        <v>25</v>
      </c>
    </row>
    <row r="18" spans="1:54" x14ac:dyDescent="0.25">
      <c r="A18" s="20">
        <v>16</v>
      </c>
      <c r="B18" s="55"/>
      <c r="C18" s="21"/>
      <c r="D18" s="16"/>
      <c r="E18" s="22"/>
      <c r="F18" s="22"/>
      <c r="G18" s="22"/>
      <c r="H18" s="23"/>
      <c r="I18" s="23"/>
      <c r="J18" s="23"/>
      <c r="K18" s="22">
        <f t="shared" ref="K18" si="18">SUM(C18:J18)</f>
        <v>0</v>
      </c>
      <c r="L18" s="24">
        <f t="shared" si="0"/>
        <v>0</v>
      </c>
      <c r="M18" s="21"/>
      <c r="N18" s="22"/>
      <c r="O18" s="22"/>
      <c r="P18" s="22"/>
      <c r="Q18" s="22"/>
      <c r="R18" s="23"/>
      <c r="S18" s="23"/>
      <c r="T18" s="23"/>
      <c r="U18" s="22">
        <f t="shared" ref="U18" si="19">SUM(M18:T18)</f>
        <v>0</v>
      </c>
      <c r="V18" s="24" t="e">
        <f t="shared" si="1"/>
        <v>#DIV/0!</v>
      </c>
      <c r="W18" s="21"/>
      <c r="X18" s="22"/>
      <c r="Y18" s="22"/>
      <c r="Z18" s="22"/>
      <c r="AA18" s="22"/>
      <c r="AB18" s="23"/>
      <c r="AC18" s="23"/>
      <c r="AD18" s="23"/>
      <c r="AE18" s="22">
        <f t="shared" ref="AE18" si="20">SUM(W18:AD18)</f>
        <v>0</v>
      </c>
      <c r="AF18" s="24" t="e">
        <f t="shared" si="2"/>
        <v>#DIV/0!</v>
      </c>
      <c r="AG18" s="21"/>
      <c r="AH18" s="22"/>
      <c r="AI18" s="22"/>
      <c r="AJ18" s="22"/>
      <c r="AK18" s="22"/>
      <c r="AL18" s="23"/>
      <c r="AM18" s="23"/>
      <c r="AN18" s="23"/>
      <c r="AO18" s="22">
        <f t="shared" ref="AO18" si="21">SUM(AG18:AN18)</f>
        <v>0</v>
      </c>
      <c r="AP18" s="24" t="e">
        <f t="shared" si="3"/>
        <v>#DIV/0!</v>
      </c>
      <c r="AQ18" s="21"/>
      <c r="AR18" s="22"/>
      <c r="AS18" s="22"/>
      <c r="AT18" s="22"/>
      <c r="AU18" s="22"/>
      <c r="AV18" s="23"/>
      <c r="AW18" s="23"/>
      <c r="AX18" s="23"/>
      <c r="AY18" s="22">
        <f t="shared" ref="AY18" si="22">SUM(AQ18:AX18)</f>
        <v>0</v>
      </c>
      <c r="AZ18" s="24" t="e">
        <f t="shared" si="4"/>
        <v>#DIV/0!</v>
      </c>
      <c r="BA18" s="25">
        <f t="shared" ref="BA18" si="23">+AY18+AO18+AE18+U18+K18</f>
        <v>0</v>
      </c>
      <c r="BB18" s="24">
        <f t="shared" si="6"/>
        <v>0</v>
      </c>
    </row>
    <row r="19" spans="1:54" x14ac:dyDescent="0.25">
      <c r="A19" s="20">
        <v>6</v>
      </c>
      <c r="B19" s="55"/>
      <c r="C19" s="21"/>
      <c r="D19" s="16"/>
      <c r="E19" s="22"/>
      <c r="F19" s="22"/>
      <c r="G19" s="22"/>
      <c r="H19" s="23"/>
      <c r="I19" s="23"/>
      <c r="J19" s="23"/>
      <c r="K19" s="22">
        <f t="shared" si="7"/>
        <v>0</v>
      </c>
      <c r="L19" s="24">
        <f t="shared" si="0"/>
        <v>0</v>
      </c>
      <c r="M19" s="21"/>
      <c r="N19" s="22"/>
      <c r="O19" s="22"/>
      <c r="P19" s="22"/>
      <c r="Q19" s="22"/>
      <c r="R19" s="23"/>
      <c r="S19" s="23"/>
      <c r="T19" s="23"/>
      <c r="U19" s="22">
        <f t="shared" si="8"/>
        <v>0</v>
      </c>
      <c r="V19" s="24" t="e">
        <f t="shared" si="1"/>
        <v>#DIV/0!</v>
      </c>
      <c r="W19" s="21"/>
      <c r="X19" s="22"/>
      <c r="Y19" s="22"/>
      <c r="Z19" s="22"/>
      <c r="AA19" s="22"/>
      <c r="AB19" s="23"/>
      <c r="AC19" s="23"/>
      <c r="AD19" s="23"/>
      <c r="AE19" s="22">
        <f t="shared" si="9"/>
        <v>0</v>
      </c>
      <c r="AF19" s="24" t="e">
        <f t="shared" si="2"/>
        <v>#DIV/0!</v>
      </c>
      <c r="AG19" s="21"/>
      <c r="AH19" s="22"/>
      <c r="AI19" s="22"/>
      <c r="AJ19" s="22"/>
      <c r="AK19" s="22"/>
      <c r="AL19" s="23"/>
      <c r="AM19" s="23"/>
      <c r="AN19" s="23"/>
      <c r="AO19" s="22">
        <f t="shared" si="10"/>
        <v>0</v>
      </c>
      <c r="AP19" s="24" t="e">
        <f t="shared" si="3"/>
        <v>#DIV/0!</v>
      </c>
      <c r="AQ19" s="21"/>
      <c r="AR19" s="22"/>
      <c r="AS19" s="22"/>
      <c r="AT19" s="22"/>
      <c r="AU19" s="22"/>
      <c r="AV19" s="23"/>
      <c r="AW19" s="23"/>
      <c r="AX19" s="23"/>
      <c r="AY19" s="22">
        <f t="shared" si="11"/>
        <v>0</v>
      </c>
      <c r="AZ19" s="24" t="e">
        <f t="shared" si="4"/>
        <v>#DIV/0!</v>
      </c>
      <c r="BA19" s="25">
        <f t="shared" si="5"/>
        <v>0</v>
      </c>
      <c r="BB19" s="24">
        <f t="shared" si="6"/>
        <v>0</v>
      </c>
    </row>
    <row r="20" spans="1:54" x14ac:dyDescent="0.25">
      <c r="A20" s="20">
        <v>17</v>
      </c>
      <c r="B20" s="55"/>
      <c r="C20" s="21"/>
      <c r="D20" s="16"/>
      <c r="E20" s="22"/>
      <c r="F20" s="22"/>
      <c r="G20" s="22"/>
      <c r="H20" s="23"/>
      <c r="I20" s="23"/>
      <c r="J20" s="23"/>
      <c r="K20" s="22">
        <f t="shared" si="7"/>
        <v>0</v>
      </c>
      <c r="L20" s="24">
        <f t="shared" si="0"/>
        <v>0</v>
      </c>
      <c r="M20" s="21"/>
      <c r="N20" s="22"/>
      <c r="O20" s="22"/>
      <c r="P20" s="22"/>
      <c r="Q20" s="22"/>
      <c r="R20" s="23"/>
      <c r="S20" s="23"/>
      <c r="T20" s="23"/>
      <c r="U20" s="22">
        <f t="shared" si="8"/>
        <v>0</v>
      </c>
      <c r="V20" s="24" t="e">
        <f t="shared" si="1"/>
        <v>#DIV/0!</v>
      </c>
      <c r="W20" s="21"/>
      <c r="X20" s="22"/>
      <c r="Y20" s="22"/>
      <c r="Z20" s="22"/>
      <c r="AA20" s="22"/>
      <c r="AB20" s="23"/>
      <c r="AC20" s="23"/>
      <c r="AD20" s="23"/>
      <c r="AE20" s="22">
        <f t="shared" si="9"/>
        <v>0</v>
      </c>
      <c r="AF20" s="24" t="e">
        <f t="shared" si="2"/>
        <v>#DIV/0!</v>
      </c>
      <c r="AG20" s="21"/>
      <c r="AH20" s="22"/>
      <c r="AI20" s="22"/>
      <c r="AJ20" s="22"/>
      <c r="AK20" s="22"/>
      <c r="AL20" s="23"/>
      <c r="AM20" s="23"/>
      <c r="AN20" s="23"/>
      <c r="AO20" s="22">
        <f t="shared" si="10"/>
        <v>0</v>
      </c>
      <c r="AP20" s="24" t="e">
        <f t="shared" si="3"/>
        <v>#DIV/0!</v>
      </c>
      <c r="AQ20" s="21"/>
      <c r="AR20" s="22"/>
      <c r="AS20" s="22"/>
      <c r="AT20" s="22"/>
      <c r="AU20" s="22"/>
      <c r="AV20" s="23"/>
      <c r="AW20" s="23"/>
      <c r="AX20" s="23"/>
      <c r="AY20" s="22">
        <f t="shared" si="11"/>
        <v>0</v>
      </c>
      <c r="AZ20" s="24" t="e">
        <f t="shared" si="4"/>
        <v>#DIV/0!</v>
      </c>
      <c r="BA20" s="25">
        <f t="shared" si="5"/>
        <v>0</v>
      </c>
      <c r="BB20" s="24">
        <f t="shared" si="6"/>
        <v>0</v>
      </c>
    </row>
    <row r="21" spans="1:54" x14ac:dyDescent="0.25">
      <c r="A21" s="20">
        <v>8</v>
      </c>
      <c r="B21" s="55"/>
      <c r="C21" s="21"/>
      <c r="D21" s="16"/>
      <c r="E21" s="22"/>
      <c r="F21" s="22"/>
      <c r="G21" s="22"/>
      <c r="H21" s="23"/>
      <c r="I21" s="23"/>
      <c r="J21" s="23"/>
      <c r="K21" s="22">
        <f t="shared" si="7"/>
        <v>0</v>
      </c>
      <c r="L21" s="24">
        <f t="shared" si="0"/>
        <v>0</v>
      </c>
      <c r="M21" s="21"/>
      <c r="N21" s="22"/>
      <c r="O21" s="22"/>
      <c r="P21" s="22"/>
      <c r="Q21" s="22"/>
      <c r="R21" s="23"/>
      <c r="S21" s="23"/>
      <c r="T21" s="23"/>
      <c r="U21" s="22">
        <f t="shared" si="8"/>
        <v>0</v>
      </c>
      <c r="V21" s="24" t="e">
        <f t="shared" si="1"/>
        <v>#DIV/0!</v>
      </c>
      <c r="W21" s="21"/>
      <c r="X21" s="22"/>
      <c r="Y21" s="22"/>
      <c r="Z21" s="22"/>
      <c r="AA21" s="22"/>
      <c r="AB21" s="23"/>
      <c r="AC21" s="23"/>
      <c r="AD21" s="23"/>
      <c r="AE21" s="22">
        <f t="shared" si="9"/>
        <v>0</v>
      </c>
      <c r="AF21" s="24" t="e">
        <f t="shared" si="2"/>
        <v>#DIV/0!</v>
      </c>
      <c r="AG21" s="21"/>
      <c r="AH21" s="22"/>
      <c r="AI21" s="22"/>
      <c r="AJ21" s="22"/>
      <c r="AK21" s="22"/>
      <c r="AL21" s="23"/>
      <c r="AM21" s="23"/>
      <c r="AN21" s="23"/>
      <c r="AO21" s="22">
        <f t="shared" si="10"/>
        <v>0</v>
      </c>
      <c r="AP21" s="24" t="e">
        <f t="shared" si="3"/>
        <v>#DIV/0!</v>
      </c>
      <c r="AQ21" s="21"/>
      <c r="AR21" s="22"/>
      <c r="AS21" s="22"/>
      <c r="AT21" s="22"/>
      <c r="AU21" s="22"/>
      <c r="AV21" s="23"/>
      <c r="AW21" s="23"/>
      <c r="AX21" s="23"/>
      <c r="AY21" s="22">
        <f t="shared" si="11"/>
        <v>0</v>
      </c>
      <c r="AZ21" s="24" t="e">
        <f t="shared" si="4"/>
        <v>#DIV/0!</v>
      </c>
      <c r="BA21" s="25">
        <f t="shared" si="5"/>
        <v>0</v>
      </c>
      <c r="BB21" s="24">
        <f t="shared" si="6"/>
        <v>0</v>
      </c>
    </row>
    <row r="22" spans="1:54" x14ac:dyDescent="0.25">
      <c r="A22" s="20">
        <v>22</v>
      </c>
      <c r="B22" s="55"/>
      <c r="C22" s="26"/>
      <c r="D22" s="16"/>
      <c r="E22" s="27"/>
      <c r="F22" s="27"/>
      <c r="G22" s="27"/>
      <c r="H22" s="23"/>
      <c r="I22" s="23"/>
      <c r="J22" s="23"/>
      <c r="K22" s="22">
        <f t="shared" ref="K22" si="24">SUM(C22:J22)</f>
        <v>0</v>
      </c>
      <c r="L22" s="24">
        <f t="shared" si="0"/>
        <v>0</v>
      </c>
      <c r="M22" s="26"/>
      <c r="N22" s="27"/>
      <c r="O22" s="27"/>
      <c r="P22" s="27"/>
      <c r="Q22" s="27"/>
      <c r="R22" s="23"/>
      <c r="S22" s="23"/>
      <c r="T22" s="23"/>
      <c r="U22" s="22">
        <f t="shared" si="8"/>
        <v>0</v>
      </c>
      <c r="V22" s="24" t="e">
        <f t="shared" si="1"/>
        <v>#DIV/0!</v>
      </c>
      <c r="W22" s="26"/>
      <c r="X22" s="27"/>
      <c r="Y22" s="27"/>
      <c r="Z22" s="27"/>
      <c r="AA22" s="27"/>
      <c r="AB22" s="23"/>
      <c r="AC22" s="23"/>
      <c r="AD22" s="23"/>
      <c r="AE22" s="22">
        <f t="shared" ref="AE22" si="25">SUM(W22:AD22)</f>
        <v>0</v>
      </c>
      <c r="AF22" s="24" t="e">
        <f t="shared" si="2"/>
        <v>#DIV/0!</v>
      </c>
      <c r="AG22" s="26"/>
      <c r="AH22" s="27"/>
      <c r="AI22" s="27"/>
      <c r="AJ22" s="27"/>
      <c r="AK22" s="27"/>
      <c r="AL22" s="23"/>
      <c r="AM22" s="23"/>
      <c r="AN22" s="23"/>
      <c r="AO22" s="22">
        <f t="shared" ref="AO22" si="26">SUM(AG22:AN22)</f>
        <v>0</v>
      </c>
      <c r="AP22" s="24" t="e">
        <f t="shared" si="3"/>
        <v>#DIV/0!</v>
      </c>
      <c r="AQ22" s="26"/>
      <c r="AR22" s="27"/>
      <c r="AS22" s="27"/>
      <c r="AT22" s="27"/>
      <c r="AU22" s="27"/>
      <c r="AV22" s="23"/>
      <c r="AW22" s="23"/>
      <c r="AX22" s="23"/>
      <c r="AY22" s="22">
        <f t="shared" ref="AY22" si="27">SUM(AQ22:AX22)</f>
        <v>0</v>
      </c>
      <c r="AZ22" s="24" t="e">
        <f t="shared" si="4"/>
        <v>#DIV/0!</v>
      </c>
      <c r="BA22" s="25">
        <f t="shared" ref="BA22" si="28">+AY22+AO22+AE22+U22+K22</f>
        <v>0</v>
      </c>
      <c r="BB22" s="24">
        <f t="shared" si="6"/>
        <v>0</v>
      </c>
    </row>
    <row r="23" spans="1:54" x14ac:dyDescent="0.25">
      <c r="A23" s="20">
        <v>10</v>
      </c>
      <c r="B23" s="55"/>
      <c r="C23" s="28"/>
      <c r="D23" s="16"/>
      <c r="E23" s="29"/>
      <c r="F23" s="29"/>
      <c r="G23" s="29"/>
      <c r="H23" s="30"/>
      <c r="I23" s="30"/>
      <c r="J23" s="30"/>
      <c r="K23" s="22">
        <f t="shared" si="7"/>
        <v>0</v>
      </c>
      <c r="L23" s="24">
        <f t="shared" si="0"/>
        <v>0</v>
      </c>
      <c r="M23" s="28"/>
      <c r="N23" s="29"/>
      <c r="O23" s="29"/>
      <c r="P23" s="29"/>
      <c r="Q23" s="29"/>
      <c r="R23" s="30"/>
      <c r="S23" s="30"/>
      <c r="T23" s="30"/>
      <c r="U23" s="22">
        <f t="shared" ref="U23" si="29">SUM(M23:T23)</f>
        <v>0</v>
      </c>
      <c r="V23" s="24" t="e">
        <f t="shared" si="1"/>
        <v>#DIV/0!</v>
      </c>
      <c r="W23" s="28"/>
      <c r="X23" s="29"/>
      <c r="Y23" s="29"/>
      <c r="Z23" s="29"/>
      <c r="AA23" s="29"/>
      <c r="AB23" s="30"/>
      <c r="AC23" s="30"/>
      <c r="AD23" s="30"/>
      <c r="AE23" s="22">
        <f t="shared" si="9"/>
        <v>0</v>
      </c>
      <c r="AF23" s="24" t="e">
        <f t="shared" si="2"/>
        <v>#DIV/0!</v>
      </c>
      <c r="AG23" s="28"/>
      <c r="AH23" s="29"/>
      <c r="AI23" s="29"/>
      <c r="AJ23" s="29"/>
      <c r="AK23" s="29"/>
      <c r="AL23" s="30"/>
      <c r="AM23" s="30"/>
      <c r="AN23" s="30"/>
      <c r="AO23" s="22">
        <f t="shared" si="10"/>
        <v>0</v>
      </c>
      <c r="AP23" s="24" t="e">
        <f t="shared" si="3"/>
        <v>#DIV/0!</v>
      </c>
      <c r="AQ23" s="28"/>
      <c r="AR23" s="29"/>
      <c r="AS23" s="29"/>
      <c r="AT23" s="29"/>
      <c r="AU23" s="29"/>
      <c r="AV23" s="30"/>
      <c r="AW23" s="30"/>
      <c r="AX23" s="30"/>
      <c r="AY23" s="22">
        <f t="shared" si="11"/>
        <v>0</v>
      </c>
      <c r="AZ23" s="24" t="e">
        <f t="shared" si="4"/>
        <v>#DIV/0!</v>
      </c>
      <c r="BA23" s="25">
        <f t="shared" si="5"/>
        <v>0</v>
      </c>
      <c r="BB23" s="24">
        <f t="shared" si="6"/>
        <v>0</v>
      </c>
    </row>
    <row r="24" spans="1:54" x14ac:dyDescent="0.25">
      <c r="A24" s="20">
        <v>7</v>
      </c>
      <c r="B24" s="55"/>
      <c r="C24" s="26"/>
      <c r="D24" s="16"/>
      <c r="E24" s="27">
        <v>2</v>
      </c>
      <c r="F24" s="27"/>
      <c r="G24" s="27"/>
      <c r="H24" s="23"/>
      <c r="I24" s="23"/>
      <c r="J24" s="23"/>
      <c r="K24" s="22">
        <f>SUM(C24:J24)</f>
        <v>2</v>
      </c>
      <c r="L24" s="24">
        <f t="shared" si="0"/>
        <v>25</v>
      </c>
      <c r="M24" s="26"/>
      <c r="N24" s="27"/>
      <c r="O24" s="27"/>
      <c r="P24" s="27"/>
      <c r="Q24" s="27"/>
      <c r="R24" s="23"/>
      <c r="S24" s="23"/>
      <c r="T24" s="23"/>
      <c r="U24" s="22">
        <f>SUM(M24:T24)</f>
        <v>0</v>
      </c>
      <c r="V24" s="24" t="e">
        <f t="shared" si="1"/>
        <v>#DIV/0!</v>
      </c>
      <c r="W24" s="26"/>
      <c r="X24" s="27"/>
      <c r="Y24" s="27"/>
      <c r="Z24" s="27"/>
      <c r="AA24" s="27"/>
      <c r="AB24" s="23"/>
      <c r="AC24" s="23"/>
      <c r="AD24" s="23"/>
      <c r="AE24" s="22">
        <f>SUM(W24:AD24)</f>
        <v>0</v>
      </c>
      <c r="AF24" s="24" t="e">
        <f t="shared" si="2"/>
        <v>#DIV/0!</v>
      </c>
      <c r="AG24" s="26"/>
      <c r="AH24" s="27"/>
      <c r="AI24" s="27"/>
      <c r="AJ24" s="27"/>
      <c r="AK24" s="27"/>
      <c r="AL24" s="23"/>
      <c r="AM24" s="23"/>
      <c r="AN24" s="23"/>
      <c r="AO24" s="22">
        <f>SUM(AG24:AN24)</f>
        <v>0</v>
      </c>
      <c r="AP24" s="24" t="e">
        <f t="shared" si="3"/>
        <v>#DIV/0!</v>
      </c>
      <c r="AQ24" s="26"/>
      <c r="AR24" s="27"/>
      <c r="AS24" s="27"/>
      <c r="AT24" s="27"/>
      <c r="AU24" s="27"/>
      <c r="AV24" s="23"/>
      <c r="AW24" s="23"/>
      <c r="AX24" s="23"/>
      <c r="AY24" s="22">
        <f>SUM(AQ24:AX24)</f>
        <v>0</v>
      </c>
      <c r="AZ24" s="24" t="e">
        <f t="shared" si="4"/>
        <v>#DIV/0!</v>
      </c>
      <c r="BA24" s="31">
        <f>+AY24+AO24+AE24+U24+K24</f>
        <v>2</v>
      </c>
      <c r="BB24" s="24">
        <f t="shared" si="6"/>
        <v>25</v>
      </c>
    </row>
    <row r="25" spans="1:54" x14ac:dyDescent="0.25">
      <c r="A25" s="20">
        <v>9</v>
      </c>
      <c r="B25" s="55"/>
      <c r="C25" s="26"/>
      <c r="D25" s="16"/>
      <c r="E25" s="27"/>
      <c r="F25" s="27"/>
      <c r="G25" s="27"/>
      <c r="H25" s="23"/>
      <c r="I25" s="23"/>
      <c r="J25" s="23"/>
      <c r="K25" s="22">
        <f t="shared" ref="K25" si="30">SUM(C25:J25)</f>
        <v>0</v>
      </c>
      <c r="L25" s="24">
        <f t="shared" si="0"/>
        <v>0</v>
      </c>
      <c r="M25" s="26"/>
      <c r="N25" s="27"/>
      <c r="O25" s="27"/>
      <c r="P25" s="27"/>
      <c r="Q25" s="27"/>
      <c r="R25" s="23"/>
      <c r="S25" s="23"/>
      <c r="T25" s="23"/>
      <c r="U25" s="22">
        <f t="shared" ref="U25" si="31">SUM(M25:T25)</f>
        <v>0</v>
      </c>
      <c r="V25" s="24" t="e">
        <f t="shared" si="1"/>
        <v>#DIV/0!</v>
      </c>
      <c r="W25" s="26"/>
      <c r="X25" s="27"/>
      <c r="Y25" s="27"/>
      <c r="Z25" s="27"/>
      <c r="AA25" s="27"/>
      <c r="AB25" s="23"/>
      <c r="AC25" s="23"/>
      <c r="AD25" s="23"/>
      <c r="AE25" s="22">
        <f t="shared" ref="AE25" si="32">SUM(W25:AD25)</f>
        <v>0</v>
      </c>
      <c r="AF25" s="24" t="e">
        <f t="shared" si="2"/>
        <v>#DIV/0!</v>
      </c>
      <c r="AG25" s="26"/>
      <c r="AH25" s="27"/>
      <c r="AI25" s="27"/>
      <c r="AJ25" s="27"/>
      <c r="AK25" s="27"/>
      <c r="AL25" s="23"/>
      <c r="AM25" s="23"/>
      <c r="AN25" s="23"/>
      <c r="AO25" s="22">
        <f t="shared" ref="AO25" si="33">SUM(AG25:AN25)</f>
        <v>0</v>
      </c>
      <c r="AP25" s="24" t="e">
        <f t="shared" si="3"/>
        <v>#DIV/0!</v>
      </c>
      <c r="AQ25" s="26"/>
      <c r="AR25" s="27"/>
      <c r="AS25" s="27"/>
      <c r="AT25" s="27"/>
      <c r="AU25" s="27"/>
      <c r="AV25" s="23"/>
      <c r="AW25" s="23"/>
      <c r="AX25" s="23"/>
      <c r="AY25" s="22">
        <f t="shared" ref="AY25" si="34">SUM(AQ25:AX25)</f>
        <v>0</v>
      </c>
      <c r="AZ25" s="24" t="e">
        <f t="shared" si="4"/>
        <v>#DIV/0!</v>
      </c>
      <c r="BA25" s="31">
        <f t="shared" ref="BA25" si="35">+AY25+AO25+AE25+U25+K25</f>
        <v>0</v>
      </c>
      <c r="BB25" s="24">
        <f t="shared" si="6"/>
        <v>0</v>
      </c>
    </row>
    <row r="26" spans="1:54" x14ac:dyDescent="0.25">
      <c r="A26" s="20">
        <v>3</v>
      </c>
      <c r="B26" s="55"/>
      <c r="C26" s="26"/>
      <c r="D26" s="16"/>
      <c r="E26" s="27"/>
      <c r="F26" s="27"/>
      <c r="G26" s="27"/>
      <c r="H26" s="23"/>
      <c r="I26" s="23"/>
      <c r="J26" s="23"/>
      <c r="K26" s="22">
        <f t="shared" ref="K26" si="36">SUM(C26:J26)</f>
        <v>0</v>
      </c>
      <c r="L26" s="24">
        <f t="shared" si="0"/>
        <v>0</v>
      </c>
      <c r="M26" s="26"/>
      <c r="N26" s="27"/>
      <c r="O26" s="27"/>
      <c r="P26" s="27"/>
      <c r="Q26" s="27"/>
      <c r="R26" s="23"/>
      <c r="S26" s="23"/>
      <c r="T26" s="23"/>
      <c r="U26" s="22">
        <f t="shared" ref="U26" si="37">SUM(M26:T26)</f>
        <v>0</v>
      </c>
      <c r="V26" s="24" t="e">
        <f t="shared" si="1"/>
        <v>#DIV/0!</v>
      </c>
      <c r="W26" s="26"/>
      <c r="X26" s="27"/>
      <c r="Y26" s="27"/>
      <c r="Z26" s="27"/>
      <c r="AA26" s="27"/>
      <c r="AB26" s="23"/>
      <c r="AC26" s="23"/>
      <c r="AD26" s="23"/>
      <c r="AE26" s="22">
        <f t="shared" ref="AE26" si="38">SUM(W26:AD26)</f>
        <v>0</v>
      </c>
      <c r="AF26" s="24" t="e">
        <f t="shared" si="2"/>
        <v>#DIV/0!</v>
      </c>
      <c r="AG26" s="26"/>
      <c r="AH26" s="27"/>
      <c r="AI26" s="27"/>
      <c r="AJ26" s="27"/>
      <c r="AK26" s="27"/>
      <c r="AL26" s="23"/>
      <c r="AM26" s="23"/>
      <c r="AN26" s="23"/>
      <c r="AO26" s="22">
        <f t="shared" ref="AO26" si="39">SUM(AG26:AN26)</f>
        <v>0</v>
      </c>
      <c r="AP26" s="24" t="e">
        <f t="shared" si="3"/>
        <v>#DIV/0!</v>
      </c>
      <c r="AQ26" s="26"/>
      <c r="AR26" s="27"/>
      <c r="AS26" s="27"/>
      <c r="AT26" s="27"/>
      <c r="AU26" s="27"/>
      <c r="AV26" s="23"/>
      <c r="AW26" s="23"/>
      <c r="AX26" s="23"/>
      <c r="AY26" s="22">
        <f t="shared" ref="AY26" si="40">SUM(AQ26:AX26)</f>
        <v>0</v>
      </c>
      <c r="AZ26" s="24" t="e">
        <f t="shared" si="4"/>
        <v>#DIV/0!</v>
      </c>
      <c r="BA26" s="31">
        <f t="shared" ref="BA26" si="41">+AY26+AO26+AE26+U26+K26</f>
        <v>0</v>
      </c>
      <c r="BB26" s="24">
        <f t="shared" si="6"/>
        <v>0</v>
      </c>
    </row>
    <row r="27" spans="1:54" x14ac:dyDescent="0.25">
      <c r="A27" s="20"/>
      <c r="B27" s="55" t="s">
        <v>9</v>
      </c>
      <c r="C27" s="33"/>
      <c r="D27" s="34"/>
      <c r="E27" s="34"/>
      <c r="F27" s="34"/>
      <c r="G27" s="34"/>
      <c r="H27" s="35"/>
      <c r="I27" s="35"/>
      <c r="J27" s="35"/>
      <c r="K27" s="22">
        <f t="shared" si="7"/>
        <v>0</v>
      </c>
      <c r="L27" s="24">
        <f t="shared" si="0"/>
        <v>0</v>
      </c>
      <c r="M27" s="33"/>
      <c r="N27" s="34"/>
      <c r="O27" s="34"/>
      <c r="P27" s="34"/>
      <c r="Q27" s="34"/>
      <c r="R27" s="35"/>
      <c r="S27" s="35"/>
      <c r="T27" s="35"/>
      <c r="U27" s="22">
        <f t="shared" ref="U27" si="42">SUM(M27:T27)</f>
        <v>0</v>
      </c>
      <c r="V27" s="24" t="e">
        <f t="shared" si="1"/>
        <v>#DIV/0!</v>
      </c>
      <c r="W27" s="33"/>
      <c r="X27" s="34"/>
      <c r="Y27" s="34"/>
      <c r="Z27" s="34"/>
      <c r="AA27" s="34"/>
      <c r="AB27" s="35"/>
      <c r="AC27" s="35"/>
      <c r="AD27" s="35"/>
      <c r="AE27" s="22">
        <f t="shared" ref="AE27" si="43">SUM(W27:AD27)</f>
        <v>0</v>
      </c>
      <c r="AF27" s="24" t="e">
        <f t="shared" si="2"/>
        <v>#DIV/0!</v>
      </c>
      <c r="AG27" s="33"/>
      <c r="AH27" s="34"/>
      <c r="AI27" s="34"/>
      <c r="AJ27" s="34"/>
      <c r="AK27" s="34"/>
      <c r="AL27" s="35"/>
      <c r="AM27" s="35"/>
      <c r="AN27" s="35"/>
      <c r="AO27" s="22">
        <f t="shared" ref="AO27" si="44">SUM(AG27:AN27)</f>
        <v>0</v>
      </c>
      <c r="AP27" s="24" t="e">
        <f t="shared" si="3"/>
        <v>#DIV/0!</v>
      </c>
      <c r="AQ27" s="33"/>
      <c r="AR27" s="34"/>
      <c r="AS27" s="34"/>
      <c r="AT27" s="34"/>
      <c r="AU27" s="34"/>
      <c r="AV27" s="35"/>
      <c r="AW27" s="35"/>
      <c r="AX27" s="35"/>
      <c r="AY27" s="22">
        <f t="shared" ref="AY27" si="45">SUM(AQ27:AX27)</f>
        <v>0</v>
      </c>
      <c r="AZ27" s="24" t="e">
        <f t="shared" si="4"/>
        <v>#DIV/0!</v>
      </c>
      <c r="BA27" s="36">
        <f t="shared" si="5"/>
        <v>0</v>
      </c>
      <c r="BB27" s="37">
        <f t="shared" si="6"/>
        <v>0</v>
      </c>
    </row>
    <row r="28" spans="1:54" s="7" customFormat="1" x14ac:dyDescent="0.25">
      <c r="A28" s="38"/>
      <c r="B28" s="39" t="s">
        <v>10</v>
      </c>
      <c r="C28" s="40">
        <f t="shared" ref="C28:K28" si="46">SUM(C10:C27)</f>
        <v>0</v>
      </c>
      <c r="D28" s="41">
        <f t="shared" si="46"/>
        <v>2</v>
      </c>
      <c r="E28" s="41">
        <f t="shared" si="46"/>
        <v>2</v>
      </c>
      <c r="F28" s="41">
        <f t="shared" si="46"/>
        <v>2</v>
      </c>
      <c r="G28" s="41">
        <f t="shared" si="46"/>
        <v>2</v>
      </c>
      <c r="H28" s="41">
        <f t="shared" si="46"/>
        <v>0</v>
      </c>
      <c r="I28" s="41">
        <f t="shared" si="46"/>
        <v>0</v>
      </c>
      <c r="J28" s="41">
        <f t="shared" si="46"/>
        <v>0</v>
      </c>
      <c r="K28" s="41">
        <f t="shared" si="46"/>
        <v>8</v>
      </c>
      <c r="L28" s="42"/>
      <c r="M28" s="40">
        <f t="shared" ref="M28:U28" si="47">SUM(M10:M27)</f>
        <v>0</v>
      </c>
      <c r="N28" s="41">
        <f t="shared" si="47"/>
        <v>0</v>
      </c>
      <c r="O28" s="41">
        <f t="shared" si="47"/>
        <v>0</v>
      </c>
      <c r="P28" s="41">
        <f t="shared" si="47"/>
        <v>0</v>
      </c>
      <c r="Q28" s="41">
        <f t="shared" si="47"/>
        <v>0</v>
      </c>
      <c r="R28" s="41">
        <f t="shared" si="47"/>
        <v>0</v>
      </c>
      <c r="S28" s="41">
        <f t="shared" si="47"/>
        <v>0</v>
      </c>
      <c r="T28" s="41">
        <f t="shared" si="47"/>
        <v>0</v>
      </c>
      <c r="U28" s="41">
        <f t="shared" si="47"/>
        <v>0</v>
      </c>
      <c r="V28" s="42"/>
      <c r="W28" s="40">
        <f t="shared" ref="W28:AE28" si="48">SUM(W10:W27)</f>
        <v>0</v>
      </c>
      <c r="X28" s="41">
        <f t="shared" si="48"/>
        <v>0</v>
      </c>
      <c r="Y28" s="41">
        <f t="shared" si="48"/>
        <v>0</v>
      </c>
      <c r="Z28" s="41">
        <f t="shared" si="48"/>
        <v>0</v>
      </c>
      <c r="AA28" s="41">
        <f t="shared" si="48"/>
        <v>0</v>
      </c>
      <c r="AB28" s="41">
        <f t="shared" si="48"/>
        <v>0</v>
      </c>
      <c r="AC28" s="41">
        <f t="shared" si="48"/>
        <v>0</v>
      </c>
      <c r="AD28" s="41">
        <f t="shared" si="48"/>
        <v>0</v>
      </c>
      <c r="AE28" s="41">
        <f t="shared" si="48"/>
        <v>0</v>
      </c>
      <c r="AF28" s="42"/>
      <c r="AG28" s="40">
        <f t="shared" ref="AG28:AO28" si="49">SUM(AG10:AG27)</f>
        <v>0</v>
      </c>
      <c r="AH28" s="41">
        <f t="shared" si="49"/>
        <v>0</v>
      </c>
      <c r="AI28" s="41">
        <f t="shared" si="49"/>
        <v>0</v>
      </c>
      <c r="AJ28" s="41">
        <f t="shared" si="49"/>
        <v>0</v>
      </c>
      <c r="AK28" s="41">
        <f t="shared" si="49"/>
        <v>0</v>
      </c>
      <c r="AL28" s="41">
        <f t="shared" si="49"/>
        <v>0</v>
      </c>
      <c r="AM28" s="41">
        <f t="shared" si="49"/>
        <v>0</v>
      </c>
      <c r="AN28" s="41">
        <f t="shared" si="49"/>
        <v>0</v>
      </c>
      <c r="AO28" s="41">
        <f t="shared" si="49"/>
        <v>0</v>
      </c>
      <c r="AP28" s="42"/>
      <c r="AQ28" s="40">
        <f t="shared" ref="AQ28:AY28" si="50">SUM(AQ10:AQ27)</f>
        <v>0</v>
      </c>
      <c r="AR28" s="41">
        <f t="shared" si="50"/>
        <v>0</v>
      </c>
      <c r="AS28" s="41">
        <f t="shared" si="50"/>
        <v>0</v>
      </c>
      <c r="AT28" s="41">
        <f t="shared" si="50"/>
        <v>0</v>
      </c>
      <c r="AU28" s="41">
        <f t="shared" si="50"/>
        <v>0</v>
      </c>
      <c r="AV28" s="41">
        <f t="shared" si="50"/>
        <v>0</v>
      </c>
      <c r="AW28" s="41">
        <f t="shared" si="50"/>
        <v>0</v>
      </c>
      <c r="AX28" s="41">
        <f t="shared" si="50"/>
        <v>0</v>
      </c>
      <c r="AY28" s="41">
        <f t="shared" si="50"/>
        <v>0</v>
      </c>
      <c r="AZ28" s="42"/>
      <c r="BA28" s="43">
        <f t="shared" si="5"/>
        <v>8</v>
      </c>
      <c r="BB28" s="44"/>
    </row>
    <row r="29" spans="1:54" s="7" customFormat="1" ht="16.5" thickBot="1" x14ac:dyDescent="0.3">
      <c r="A29" s="45"/>
      <c r="B29" s="46" t="s">
        <v>8</v>
      </c>
      <c r="C29" s="47">
        <f>+C28*100/$K28</f>
        <v>0</v>
      </c>
      <c r="D29" s="48">
        <f>+D28*100/$K28</f>
        <v>25</v>
      </c>
      <c r="E29" s="48">
        <f>+E28*100/$K28</f>
        <v>25</v>
      </c>
      <c r="F29" s="48">
        <f>+F28*100/$K28</f>
        <v>25</v>
      </c>
      <c r="G29" s="48">
        <f t="shared" ref="G29:J29" si="51">+G28*100/$K28</f>
        <v>25</v>
      </c>
      <c r="H29" s="48">
        <f t="shared" si="51"/>
        <v>0</v>
      </c>
      <c r="I29" s="48">
        <f t="shared" si="51"/>
        <v>0</v>
      </c>
      <c r="J29" s="48">
        <f t="shared" si="51"/>
        <v>0</v>
      </c>
      <c r="K29" s="49"/>
      <c r="L29" s="50"/>
      <c r="M29" s="47">
        <f t="shared" ref="M29:T29" si="52">+M28*100/$K28</f>
        <v>0</v>
      </c>
      <c r="N29" s="48">
        <f t="shared" si="52"/>
        <v>0</v>
      </c>
      <c r="O29" s="48">
        <f t="shared" si="52"/>
        <v>0</v>
      </c>
      <c r="P29" s="48">
        <f t="shared" si="52"/>
        <v>0</v>
      </c>
      <c r="Q29" s="48">
        <f t="shared" si="52"/>
        <v>0</v>
      </c>
      <c r="R29" s="48">
        <f t="shared" si="52"/>
        <v>0</v>
      </c>
      <c r="S29" s="48">
        <f t="shared" si="52"/>
        <v>0</v>
      </c>
      <c r="T29" s="48">
        <f t="shared" si="52"/>
        <v>0</v>
      </c>
      <c r="U29" s="49"/>
      <c r="V29" s="50"/>
      <c r="W29" s="47">
        <f t="shared" ref="W29:AD29" si="53">+W28*100/$K28</f>
        <v>0</v>
      </c>
      <c r="X29" s="48">
        <f t="shared" si="53"/>
        <v>0</v>
      </c>
      <c r="Y29" s="48">
        <f t="shared" si="53"/>
        <v>0</v>
      </c>
      <c r="Z29" s="48">
        <f t="shared" si="53"/>
        <v>0</v>
      </c>
      <c r="AA29" s="48">
        <f t="shared" si="53"/>
        <v>0</v>
      </c>
      <c r="AB29" s="48">
        <f t="shared" si="53"/>
        <v>0</v>
      </c>
      <c r="AC29" s="48">
        <f t="shared" si="53"/>
        <v>0</v>
      </c>
      <c r="AD29" s="48">
        <f t="shared" si="53"/>
        <v>0</v>
      </c>
      <c r="AE29" s="49"/>
      <c r="AF29" s="50"/>
      <c r="AG29" s="47">
        <f t="shared" ref="AG29:AN29" si="54">+AG28*100/$K28</f>
        <v>0</v>
      </c>
      <c r="AH29" s="48">
        <f t="shared" si="54"/>
        <v>0</v>
      </c>
      <c r="AI29" s="48">
        <f t="shared" si="54"/>
        <v>0</v>
      </c>
      <c r="AJ29" s="48">
        <f t="shared" si="54"/>
        <v>0</v>
      </c>
      <c r="AK29" s="48">
        <f t="shared" si="54"/>
        <v>0</v>
      </c>
      <c r="AL29" s="48">
        <f t="shared" si="54"/>
        <v>0</v>
      </c>
      <c r="AM29" s="48">
        <f t="shared" si="54"/>
        <v>0</v>
      </c>
      <c r="AN29" s="48">
        <f t="shared" si="54"/>
        <v>0</v>
      </c>
      <c r="AO29" s="49"/>
      <c r="AP29" s="50"/>
      <c r="AQ29" s="47">
        <f t="shared" ref="AQ29:AX29" si="55">+AQ28*100/$K28</f>
        <v>0</v>
      </c>
      <c r="AR29" s="48">
        <f t="shared" si="55"/>
        <v>0</v>
      </c>
      <c r="AS29" s="48">
        <f t="shared" si="55"/>
        <v>0</v>
      </c>
      <c r="AT29" s="48">
        <f t="shared" si="55"/>
        <v>0</v>
      </c>
      <c r="AU29" s="48">
        <f t="shared" si="55"/>
        <v>0</v>
      </c>
      <c r="AV29" s="48">
        <f t="shared" si="55"/>
        <v>0</v>
      </c>
      <c r="AW29" s="48">
        <f t="shared" si="55"/>
        <v>0</v>
      </c>
      <c r="AX29" s="48">
        <f t="shared" si="55"/>
        <v>0</v>
      </c>
      <c r="AY29" s="49"/>
      <c r="AZ29" s="50"/>
      <c r="BA29" s="51"/>
      <c r="BB29" s="52"/>
    </row>
    <row r="30" spans="1:54" s="7" customFormat="1" ht="16.5" thickBot="1" x14ac:dyDescent="0.3">
      <c r="A30" s="14"/>
      <c r="C30" s="53"/>
      <c r="D30" s="53"/>
      <c r="E30" s="53"/>
      <c r="F30" s="53"/>
      <c r="G30" s="53"/>
      <c r="H30" s="53"/>
      <c r="I30" s="53"/>
      <c r="J30" s="53"/>
      <c r="K30" s="53"/>
      <c r="L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</row>
    <row r="31" spans="1:54" ht="16.5" thickBot="1" x14ac:dyDescent="0.3">
      <c r="A31" s="14"/>
      <c r="B31" s="7"/>
      <c r="C31" s="94" t="s">
        <v>15</v>
      </c>
      <c r="D31" s="95"/>
      <c r="E31" s="95"/>
      <c r="F31" s="95"/>
      <c r="G31" s="95"/>
      <c r="H31" s="95"/>
      <c r="I31" s="95"/>
      <c r="J31" s="95"/>
      <c r="K31" s="95"/>
      <c r="L31" s="96"/>
      <c r="M31" s="97" t="s">
        <v>22</v>
      </c>
      <c r="N31" s="98"/>
      <c r="O31" s="98"/>
      <c r="P31" s="98"/>
      <c r="Q31" s="98"/>
      <c r="R31" s="98"/>
      <c r="S31" s="98"/>
      <c r="T31" s="98"/>
      <c r="U31" s="98"/>
      <c r="V31" s="99"/>
      <c r="W31" s="97" t="s">
        <v>25</v>
      </c>
      <c r="X31" s="98"/>
      <c r="Y31" s="98"/>
      <c r="Z31" s="98"/>
      <c r="AA31" s="98"/>
      <c r="AB31" s="98"/>
      <c r="AC31" s="98"/>
      <c r="AD31" s="98"/>
      <c r="AE31" s="98"/>
      <c r="AF31" s="99"/>
      <c r="AG31" s="97" t="s">
        <v>26</v>
      </c>
      <c r="AH31" s="98"/>
      <c r="AI31" s="98"/>
      <c r="AJ31" s="98"/>
      <c r="AK31" s="98"/>
      <c r="AL31" s="98"/>
      <c r="AM31" s="98"/>
      <c r="AN31" s="98"/>
      <c r="AO31" s="98"/>
      <c r="AP31" s="99"/>
      <c r="AQ31" s="97" t="s">
        <v>50</v>
      </c>
      <c r="AR31" s="98"/>
      <c r="AS31" s="98"/>
      <c r="AT31" s="98"/>
      <c r="AU31" s="98"/>
      <c r="AV31" s="98"/>
      <c r="AW31" s="98"/>
      <c r="AX31" s="98"/>
      <c r="AY31" s="98"/>
      <c r="AZ31" s="99"/>
      <c r="BA31" s="97" t="s">
        <v>27</v>
      </c>
      <c r="BB31" s="99"/>
    </row>
    <row r="32" spans="1:54" x14ac:dyDescent="0.25">
      <c r="A32" s="8" t="s">
        <v>0</v>
      </c>
      <c r="B32" s="9" t="s">
        <v>1</v>
      </c>
      <c r="C32" s="10" t="s">
        <v>2</v>
      </c>
      <c r="D32" s="11" t="s">
        <v>3</v>
      </c>
      <c r="E32" s="11" t="s">
        <v>16</v>
      </c>
      <c r="F32" s="11" t="s">
        <v>17</v>
      </c>
      <c r="G32" s="11" t="s">
        <v>13</v>
      </c>
      <c r="H32" s="11" t="s">
        <v>18</v>
      </c>
      <c r="I32" s="11" t="s">
        <v>19</v>
      </c>
      <c r="J32" s="11" t="s">
        <v>20</v>
      </c>
      <c r="K32" s="11" t="s">
        <v>7</v>
      </c>
      <c r="L32" s="12" t="s">
        <v>8</v>
      </c>
      <c r="M32" s="10" t="s">
        <v>2</v>
      </c>
      <c r="N32" s="11" t="s">
        <v>3</v>
      </c>
      <c r="O32" s="11" t="s">
        <v>16</v>
      </c>
      <c r="P32" s="11" t="s">
        <v>17</v>
      </c>
      <c r="Q32" s="11" t="s">
        <v>13</v>
      </c>
      <c r="R32" s="11" t="s">
        <v>18</v>
      </c>
      <c r="S32" s="11" t="s">
        <v>19</v>
      </c>
      <c r="T32" s="11" t="s">
        <v>20</v>
      </c>
      <c r="U32" s="11" t="s">
        <v>7</v>
      </c>
      <c r="V32" s="12" t="s">
        <v>8</v>
      </c>
      <c r="W32" s="10" t="s">
        <v>2</v>
      </c>
      <c r="X32" s="11" t="s">
        <v>3</v>
      </c>
      <c r="Y32" s="11" t="s">
        <v>16</v>
      </c>
      <c r="Z32" s="11" t="s">
        <v>17</v>
      </c>
      <c r="AA32" s="11" t="s">
        <v>13</v>
      </c>
      <c r="AB32" s="11" t="s">
        <v>18</v>
      </c>
      <c r="AC32" s="11" t="s">
        <v>19</v>
      </c>
      <c r="AD32" s="11" t="s">
        <v>20</v>
      </c>
      <c r="AE32" s="11" t="s">
        <v>7</v>
      </c>
      <c r="AF32" s="12" t="s">
        <v>8</v>
      </c>
      <c r="AG32" s="10" t="s">
        <v>2</v>
      </c>
      <c r="AH32" s="11" t="s">
        <v>3</v>
      </c>
      <c r="AI32" s="11" t="s">
        <v>16</v>
      </c>
      <c r="AJ32" s="11" t="s">
        <v>17</v>
      </c>
      <c r="AK32" s="11" t="s">
        <v>13</v>
      </c>
      <c r="AL32" s="11" t="s">
        <v>18</v>
      </c>
      <c r="AM32" s="11" t="s">
        <v>19</v>
      </c>
      <c r="AN32" s="11" t="s">
        <v>20</v>
      </c>
      <c r="AO32" s="11" t="s">
        <v>7</v>
      </c>
      <c r="AP32" s="12" t="s">
        <v>8</v>
      </c>
      <c r="AQ32" s="10" t="s">
        <v>2</v>
      </c>
      <c r="AR32" s="11" t="s">
        <v>3</v>
      </c>
      <c r="AS32" s="11" t="s">
        <v>16</v>
      </c>
      <c r="AT32" s="11" t="s">
        <v>17</v>
      </c>
      <c r="AU32" s="11" t="s">
        <v>13</v>
      </c>
      <c r="AV32" s="11" t="s">
        <v>18</v>
      </c>
      <c r="AW32" s="11" t="s">
        <v>19</v>
      </c>
      <c r="AX32" s="11" t="s">
        <v>20</v>
      </c>
      <c r="AY32" s="11" t="s">
        <v>7</v>
      </c>
      <c r="AZ32" s="12" t="s">
        <v>8</v>
      </c>
      <c r="BA32" s="13" t="s">
        <v>7</v>
      </c>
      <c r="BB32" s="12" t="s">
        <v>8</v>
      </c>
    </row>
    <row r="33" spans="1:54" x14ac:dyDescent="0.25">
      <c r="A33" s="54">
        <f t="shared" ref="A33:B47" si="56">A10</f>
        <v>1</v>
      </c>
      <c r="B33" s="55" t="str">
        <f t="shared" si="56"/>
        <v>Ilias</v>
      </c>
      <c r="C33" s="15"/>
      <c r="D33" s="16"/>
      <c r="E33" s="16"/>
      <c r="F33" s="16"/>
      <c r="G33" s="16"/>
      <c r="H33" s="17"/>
      <c r="I33" s="17"/>
      <c r="J33" s="17"/>
      <c r="K33" s="16">
        <f>SUM(C33:J33)</f>
        <v>0</v>
      </c>
      <c r="L33" s="18" t="e">
        <f t="shared" ref="L33:L50" si="57">+K33*100/K$51</f>
        <v>#DIV/0!</v>
      </c>
      <c r="M33" s="15"/>
      <c r="N33" s="16"/>
      <c r="O33" s="16"/>
      <c r="P33" s="16"/>
      <c r="Q33" s="16"/>
      <c r="R33" s="17"/>
      <c r="S33" s="17"/>
      <c r="T33" s="17"/>
      <c r="U33" s="16">
        <f>SUM(M33:T33)</f>
        <v>0</v>
      </c>
      <c r="V33" s="18" t="e">
        <f t="shared" ref="V33:V50" si="58">+U33*100/U$51</f>
        <v>#DIV/0!</v>
      </c>
      <c r="W33" s="15"/>
      <c r="X33" s="16"/>
      <c r="Y33" s="16"/>
      <c r="Z33" s="16"/>
      <c r="AA33" s="16"/>
      <c r="AB33" s="17"/>
      <c r="AC33" s="17"/>
      <c r="AD33" s="17"/>
      <c r="AE33" s="16">
        <f>SUM(W33:AD33)</f>
        <v>0</v>
      </c>
      <c r="AF33" s="18" t="e">
        <f t="shared" ref="AF33:AF50" si="59">+AE33*100/AE$51</f>
        <v>#DIV/0!</v>
      </c>
      <c r="AG33" s="15"/>
      <c r="AH33" s="16"/>
      <c r="AI33" s="16"/>
      <c r="AJ33" s="16"/>
      <c r="AK33" s="16"/>
      <c r="AL33" s="17"/>
      <c r="AM33" s="17"/>
      <c r="AN33" s="17"/>
      <c r="AO33" s="16">
        <f>SUM(AG33:AN33)</f>
        <v>0</v>
      </c>
      <c r="AP33" s="18" t="e">
        <f t="shared" ref="AP33:AP50" si="60">+AO33*100/AO$51</f>
        <v>#DIV/0!</v>
      </c>
      <c r="AQ33" s="15"/>
      <c r="AR33" s="16"/>
      <c r="AS33" s="16"/>
      <c r="AT33" s="16"/>
      <c r="AU33" s="16"/>
      <c r="AV33" s="17"/>
      <c r="AW33" s="17"/>
      <c r="AX33" s="17"/>
      <c r="AY33" s="16">
        <f>SUM(AQ33:AX33)</f>
        <v>0</v>
      </c>
      <c r="AZ33" s="18" t="e">
        <f t="shared" ref="AZ33:AZ50" si="61">+AY33*100/AY$51</f>
        <v>#DIV/0!</v>
      </c>
      <c r="BA33" s="19">
        <f t="shared" ref="BA33:BA51" si="62">+AY33+AO33+AE33+U33+K33</f>
        <v>0</v>
      </c>
      <c r="BB33" s="18" t="e">
        <f t="shared" ref="BB33:BB50" si="63">+BA33*100/$BA$51</f>
        <v>#DIV/0!</v>
      </c>
    </row>
    <row r="34" spans="1:54" x14ac:dyDescent="0.25">
      <c r="A34" s="20">
        <f t="shared" si="56"/>
        <v>19</v>
      </c>
      <c r="B34" s="32">
        <f t="shared" si="56"/>
        <v>0</v>
      </c>
      <c r="C34" s="21"/>
      <c r="D34" s="22"/>
      <c r="E34" s="22"/>
      <c r="F34" s="22"/>
      <c r="G34" s="22"/>
      <c r="H34" s="23"/>
      <c r="I34" s="23"/>
      <c r="J34" s="23"/>
      <c r="K34" s="22">
        <f t="shared" ref="K34:K50" si="64">SUM(C34:J34)</f>
        <v>0</v>
      </c>
      <c r="L34" s="24" t="e">
        <f t="shared" si="57"/>
        <v>#DIV/0!</v>
      </c>
      <c r="M34" s="21"/>
      <c r="N34" s="22"/>
      <c r="O34" s="22"/>
      <c r="P34" s="22"/>
      <c r="Q34" s="22"/>
      <c r="R34" s="23"/>
      <c r="S34" s="23"/>
      <c r="T34" s="23"/>
      <c r="U34" s="22">
        <f t="shared" ref="U34:U46" si="65">SUM(M34:T34)</f>
        <v>0</v>
      </c>
      <c r="V34" s="24" t="e">
        <f t="shared" si="58"/>
        <v>#DIV/0!</v>
      </c>
      <c r="W34" s="21"/>
      <c r="X34" s="22"/>
      <c r="Y34" s="22"/>
      <c r="Z34" s="22"/>
      <c r="AA34" s="22"/>
      <c r="AB34" s="23"/>
      <c r="AC34" s="23"/>
      <c r="AD34" s="23"/>
      <c r="AE34" s="22">
        <f t="shared" ref="AE34:AE46" si="66">SUM(W34:AD34)</f>
        <v>0</v>
      </c>
      <c r="AF34" s="24" t="e">
        <f t="shared" si="59"/>
        <v>#DIV/0!</v>
      </c>
      <c r="AG34" s="21"/>
      <c r="AH34" s="22"/>
      <c r="AI34" s="22"/>
      <c r="AJ34" s="22"/>
      <c r="AK34" s="22"/>
      <c r="AL34" s="23"/>
      <c r="AM34" s="23"/>
      <c r="AN34" s="23"/>
      <c r="AO34" s="22">
        <f t="shared" ref="AO34:AO46" si="67">SUM(AG34:AN34)</f>
        <v>0</v>
      </c>
      <c r="AP34" s="24" t="e">
        <f t="shared" si="60"/>
        <v>#DIV/0!</v>
      </c>
      <c r="AQ34" s="21"/>
      <c r="AR34" s="22"/>
      <c r="AS34" s="22"/>
      <c r="AT34" s="22"/>
      <c r="AU34" s="22"/>
      <c r="AV34" s="23"/>
      <c r="AW34" s="23"/>
      <c r="AX34" s="23"/>
      <c r="AY34" s="22">
        <f t="shared" ref="AY34:AY46" si="68">SUM(AQ34:AX34)</f>
        <v>0</v>
      </c>
      <c r="AZ34" s="24" t="e">
        <f t="shared" si="61"/>
        <v>#DIV/0!</v>
      </c>
      <c r="BA34" s="25">
        <f t="shared" si="62"/>
        <v>0</v>
      </c>
      <c r="BB34" s="24" t="e">
        <f t="shared" si="63"/>
        <v>#DIV/0!</v>
      </c>
    </row>
    <row r="35" spans="1:54" x14ac:dyDescent="0.25">
      <c r="A35" s="20">
        <f t="shared" si="56"/>
        <v>21</v>
      </c>
      <c r="B35" s="32">
        <f t="shared" si="56"/>
        <v>0</v>
      </c>
      <c r="C35" s="21"/>
      <c r="D35" s="22"/>
      <c r="E35" s="22"/>
      <c r="F35" s="22"/>
      <c r="G35" s="22"/>
      <c r="H35" s="23"/>
      <c r="I35" s="23"/>
      <c r="J35" s="23"/>
      <c r="K35" s="22">
        <f t="shared" si="64"/>
        <v>0</v>
      </c>
      <c r="L35" s="24" t="e">
        <f t="shared" si="57"/>
        <v>#DIV/0!</v>
      </c>
      <c r="M35" s="21"/>
      <c r="N35" s="22"/>
      <c r="O35" s="22"/>
      <c r="P35" s="22"/>
      <c r="Q35" s="22"/>
      <c r="R35" s="23"/>
      <c r="S35" s="23"/>
      <c r="T35" s="23"/>
      <c r="U35" s="22">
        <f t="shared" si="65"/>
        <v>0</v>
      </c>
      <c r="V35" s="24" t="e">
        <f t="shared" si="58"/>
        <v>#DIV/0!</v>
      </c>
      <c r="W35" s="21"/>
      <c r="X35" s="22"/>
      <c r="Y35" s="22"/>
      <c r="Z35" s="22"/>
      <c r="AA35" s="22"/>
      <c r="AB35" s="23"/>
      <c r="AC35" s="23"/>
      <c r="AD35" s="23"/>
      <c r="AE35" s="22">
        <f t="shared" si="66"/>
        <v>0</v>
      </c>
      <c r="AF35" s="24" t="e">
        <f t="shared" si="59"/>
        <v>#DIV/0!</v>
      </c>
      <c r="AG35" s="21"/>
      <c r="AH35" s="22"/>
      <c r="AI35" s="22"/>
      <c r="AJ35" s="22"/>
      <c r="AK35" s="22"/>
      <c r="AL35" s="23"/>
      <c r="AM35" s="23"/>
      <c r="AN35" s="23"/>
      <c r="AO35" s="22">
        <f t="shared" si="67"/>
        <v>0</v>
      </c>
      <c r="AP35" s="24" t="e">
        <f t="shared" si="60"/>
        <v>#DIV/0!</v>
      </c>
      <c r="AQ35" s="21"/>
      <c r="AR35" s="22"/>
      <c r="AS35" s="22"/>
      <c r="AT35" s="22"/>
      <c r="AU35" s="22"/>
      <c r="AV35" s="23"/>
      <c r="AW35" s="23"/>
      <c r="AX35" s="23"/>
      <c r="AY35" s="22">
        <f t="shared" si="68"/>
        <v>0</v>
      </c>
      <c r="AZ35" s="24" t="e">
        <f t="shared" si="61"/>
        <v>#DIV/0!</v>
      </c>
      <c r="BA35" s="25">
        <f t="shared" si="62"/>
        <v>0</v>
      </c>
      <c r="BB35" s="24" t="e">
        <f t="shared" si="63"/>
        <v>#DIV/0!</v>
      </c>
    </row>
    <row r="36" spans="1:54" x14ac:dyDescent="0.25">
      <c r="A36" s="20">
        <f t="shared" si="56"/>
        <v>2</v>
      </c>
      <c r="B36" s="32">
        <f t="shared" si="56"/>
        <v>0</v>
      </c>
      <c r="C36" s="21"/>
      <c r="D36" s="22"/>
      <c r="E36" s="22"/>
      <c r="F36" s="22"/>
      <c r="G36" s="22"/>
      <c r="H36" s="23"/>
      <c r="I36" s="23"/>
      <c r="J36" s="23"/>
      <c r="K36" s="22">
        <f t="shared" si="64"/>
        <v>0</v>
      </c>
      <c r="L36" s="24" t="e">
        <f t="shared" si="57"/>
        <v>#DIV/0!</v>
      </c>
      <c r="M36" s="21"/>
      <c r="N36" s="22"/>
      <c r="O36" s="22"/>
      <c r="P36" s="22"/>
      <c r="Q36" s="22"/>
      <c r="R36" s="23"/>
      <c r="S36" s="23"/>
      <c r="T36" s="23"/>
      <c r="U36" s="22">
        <f t="shared" si="65"/>
        <v>0</v>
      </c>
      <c r="V36" s="24" t="e">
        <f t="shared" si="58"/>
        <v>#DIV/0!</v>
      </c>
      <c r="W36" s="21"/>
      <c r="X36" s="22"/>
      <c r="Y36" s="22"/>
      <c r="Z36" s="22"/>
      <c r="AA36" s="22"/>
      <c r="AB36" s="23"/>
      <c r="AC36" s="23"/>
      <c r="AD36" s="23"/>
      <c r="AE36" s="22">
        <f t="shared" si="66"/>
        <v>0</v>
      </c>
      <c r="AF36" s="24" t="e">
        <f t="shared" si="59"/>
        <v>#DIV/0!</v>
      </c>
      <c r="AG36" s="21"/>
      <c r="AH36" s="22"/>
      <c r="AI36" s="22"/>
      <c r="AJ36" s="22"/>
      <c r="AK36" s="22"/>
      <c r="AL36" s="23"/>
      <c r="AM36" s="23"/>
      <c r="AN36" s="23"/>
      <c r="AO36" s="22">
        <f t="shared" si="67"/>
        <v>0</v>
      </c>
      <c r="AP36" s="24" t="e">
        <f t="shared" si="60"/>
        <v>#DIV/0!</v>
      </c>
      <c r="AQ36" s="21"/>
      <c r="AR36" s="22"/>
      <c r="AS36" s="22"/>
      <c r="AT36" s="22"/>
      <c r="AU36" s="22"/>
      <c r="AV36" s="23"/>
      <c r="AW36" s="23"/>
      <c r="AX36" s="23"/>
      <c r="AY36" s="22">
        <f t="shared" si="68"/>
        <v>0</v>
      </c>
      <c r="AZ36" s="24" t="e">
        <f t="shared" si="61"/>
        <v>#DIV/0!</v>
      </c>
      <c r="BA36" s="25">
        <f t="shared" si="62"/>
        <v>0</v>
      </c>
      <c r="BB36" s="24" t="e">
        <f t="shared" si="63"/>
        <v>#DIV/0!</v>
      </c>
    </row>
    <row r="37" spans="1:54" x14ac:dyDescent="0.25">
      <c r="A37" s="20">
        <f t="shared" si="56"/>
        <v>4</v>
      </c>
      <c r="B37" s="32">
        <f t="shared" si="56"/>
        <v>0</v>
      </c>
      <c r="C37" s="21"/>
      <c r="D37" s="22"/>
      <c r="E37" s="22"/>
      <c r="F37" s="22"/>
      <c r="G37" s="22"/>
      <c r="H37" s="23"/>
      <c r="I37" s="23"/>
      <c r="J37" s="23"/>
      <c r="K37" s="22">
        <f t="shared" si="64"/>
        <v>0</v>
      </c>
      <c r="L37" s="24" t="e">
        <f t="shared" si="57"/>
        <v>#DIV/0!</v>
      </c>
      <c r="M37" s="21"/>
      <c r="N37" s="22"/>
      <c r="O37" s="22"/>
      <c r="P37" s="22"/>
      <c r="Q37" s="22"/>
      <c r="R37" s="23"/>
      <c r="S37" s="23"/>
      <c r="T37" s="23"/>
      <c r="U37" s="22">
        <f t="shared" si="65"/>
        <v>0</v>
      </c>
      <c r="V37" s="24" t="e">
        <f t="shared" si="58"/>
        <v>#DIV/0!</v>
      </c>
      <c r="W37" s="21"/>
      <c r="X37" s="22"/>
      <c r="Y37" s="22"/>
      <c r="Z37" s="22"/>
      <c r="AA37" s="22"/>
      <c r="AB37" s="23"/>
      <c r="AC37" s="23"/>
      <c r="AD37" s="23"/>
      <c r="AE37" s="22">
        <f t="shared" si="66"/>
        <v>0</v>
      </c>
      <c r="AF37" s="24" t="e">
        <f t="shared" si="59"/>
        <v>#DIV/0!</v>
      </c>
      <c r="AG37" s="21"/>
      <c r="AH37" s="22"/>
      <c r="AI37" s="22"/>
      <c r="AJ37" s="22"/>
      <c r="AK37" s="22"/>
      <c r="AL37" s="23"/>
      <c r="AM37" s="23"/>
      <c r="AN37" s="23"/>
      <c r="AO37" s="22">
        <f t="shared" si="67"/>
        <v>0</v>
      </c>
      <c r="AP37" s="24" t="e">
        <f t="shared" si="60"/>
        <v>#DIV/0!</v>
      </c>
      <c r="AQ37" s="21"/>
      <c r="AR37" s="22"/>
      <c r="AS37" s="22"/>
      <c r="AT37" s="22"/>
      <c r="AU37" s="22"/>
      <c r="AV37" s="23"/>
      <c r="AW37" s="23"/>
      <c r="AX37" s="23"/>
      <c r="AY37" s="22">
        <f t="shared" si="68"/>
        <v>0</v>
      </c>
      <c r="AZ37" s="24" t="e">
        <f t="shared" si="61"/>
        <v>#DIV/0!</v>
      </c>
      <c r="BA37" s="25">
        <f t="shared" si="62"/>
        <v>0</v>
      </c>
      <c r="BB37" s="24" t="e">
        <f t="shared" si="63"/>
        <v>#DIV/0!</v>
      </c>
    </row>
    <row r="38" spans="1:54" x14ac:dyDescent="0.25">
      <c r="A38" s="20">
        <f t="shared" si="56"/>
        <v>10</v>
      </c>
      <c r="B38" s="32">
        <f t="shared" si="56"/>
        <v>0</v>
      </c>
      <c r="C38" s="21"/>
      <c r="D38" s="22"/>
      <c r="E38" s="22"/>
      <c r="F38" s="22"/>
      <c r="G38" s="22"/>
      <c r="H38" s="23"/>
      <c r="I38" s="23"/>
      <c r="J38" s="23"/>
      <c r="K38" s="22">
        <f t="shared" si="64"/>
        <v>0</v>
      </c>
      <c r="L38" s="24" t="e">
        <f t="shared" si="57"/>
        <v>#DIV/0!</v>
      </c>
      <c r="M38" s="21"/>
      <c r="N38" s="22"/>
      <c r="O38" s="22"/>
      <c r="P38" s="22"/>
      <c r="Q38" s="22"/>
      <c r="R38" s="23"/>
      <c r="S38" s="23"/>
      <c r="T38" s="23"/>
      <c r="U38" s="22">
        <f t="shared" si="65"/>
        <v>0</v>
      </c>
      <c r="V38" s="24" t="e">
        <f t="shared" si="58"/>
        <v>#DIV/0!</v>
      </c>
      <c r="W38" s="21"/>
      <c r="X38" s="22"/>
      <c r="Y38" s="22"/>
      <c r="Z38" s="22"/>
      <c r="AA38" s="22"/>
      <c r="AB38" s="23"/>
      <c r="AC38" s="23"/>
      <c r="AD38" s="23"/>
      <c r="AE38" s="22">
        <f t="shared" si="66"/>
        <v>0</v>
      </c>
      <c r="AF38" s="24" t="e">
        <f t="shared" si="59"/>
        <v>#DIV/0!</v>
      </c>
      <c r="AG38" s="21"/>
      <c r="AH38" s="22"/>
      <c r="AI38" s="22"/>
      <c r="AJ38" s="22"/>
      <c r="AK38" s="22"/>
      <c r="AL38" s="23"/>
      <c r="AM38" s="23"/>
      <c r="AN38" s="23"/>
      <c r="AO38" s="22">
        <f t="shared" si="67"/>
        <v>0</v>
      </c>
      <c r="AP38" s="24" t="e">
        <f t="shared" si="60"/>
        <v>#DIV/0!</v>
      </c>
      <c r="AQ38" s="21"/>
      <c r="AR38" s="22"/>
      <c r="AS38" s="22"/>
      <c r="AT38" s="22"/>
      <c r="AU38" s="22"/>
      <c r="AV38" s="23"/>
      <c r="AW38" s="23"/>
      <c r="AX38" s="23"/>
      <c r="AY38" s="22">
        <f t="shared" si="68"/>
        <v>0</v>
      </c>
      <c r="AZ38" s="24" t="e">
        <f t="shared" si="61"/>
        <v>#DIV/0!</v>
      </c>
      <c r="BA38" s="25">
        <f t="shared" si="62"/>
        <v>0</v>
      </c>
      <c r="BB38" s="24" t="e">
        <f t="shared" si="63"/>
        <v>#DIV/0!</v>
      </c>
    </row>
    <row r="39" spans="1:54" x14ac:dyDescent="0.25">
      <c r="A39" s="20">
        <f t="shared" si="56"/>
        <v>13</v>
      </c>
      <c r="B39" s="32">
        <f t="shared" si="56"/>
        <v>0</v>
      </c>
      <c r="C39" s="21"/>
      <c r="D39" s="22"/>
      <c r="E39" s="22"/>
      <c r="F39" s="22"/>
      <c r="G39" s="22"/>
      <c r="H39" s="23"/>
      <c r="I39" s="23"/>
      <c r="J39" s="23"/>
      <c r="K39" s="22">
        <f t="shared" ref="K39" si="69">SUM(C39:J39)</f>
        <v>0</v>
      </c>
      <c r="L39" s="24" t="e">
        <f t="shared" si="57"/>
        <v>#DIV/0!</v>
      </c>
      <c r="M39" s="21"/>
      <c r="N39" s="22"/>
      <c r="O39" s="22"/>
      <c r="P39" s="22"/>
      <c r="Q39" s="22"/>
      <c r="R39" s="23"/>
      <c r="S39" s="23"/>
      <c r="T39" s="23"/>
      <c r="U39" s="22">
        <f t="shared" ref="U39" si="70">SUM(M39:T39)</f>
        <v>0</v>
      </c>
      <c r="V39" s="24" t="e">
        <f t="shared" si="58"/>
        <v>#DIV/0!</v>
      </c>
      <c r="W39" s="21"/>
      <c r="X39" s="22"/>
      <c r="Y39" s="22"/>
      <c r="Z39" s="22"/>
      <c r="AA39" s="22"/>
      <c r="AB39" s="23"/>
      <c r="AC39" s="23"/>
      <c r="AD39" s="23"/>
      <c r="AE39" s="22">
        <f t="shared" ref="AE39" si="71">SUM(W39:AD39)</f>
        <v>0</v>
      </c>
      <c r="AF39" s="24" t="e">
        <f t="shared" si="59"/>
        <v>#DIV/0!</v>
      </c>
      <c r="AG39" s="21"/>
      <c r="AH39" s="22"/>
      <c r="AI39" s="22"/>
      <c r="AJ39" s="22"/>
      <c r="AK39" s="22"/>
      <c r="AL39" s="23"/>
      <c r="AM39" s="23"/>
      <c r="AN39" s="23"/>
      <c r="AO39" s="22">
        <f t="shared" ref="AO39" si="72">SUM(AG39:AN39)</f>
        <v>0</v>
      </c>
      <c r="AP39" s="24" t="e">
        <f t="shared" si="60"/>
        <v>#DIV/0!</v>
      </c>
      <c r="AQ39" s="21"/>
      <c r="AR39" s="22"/>
      <c r="AS39" s="22"/>
      <c r="AT39" s="22"/>
      <c r="AU39" s="22"/>
      <c r="AV39" s="23"/>
      <c r="AW39" s="23"/>
      <c r="AX39" s="23"/>
      <c r="AY39" s="22">
        <f t="shared" ref="AY39" si="73">SUM(AQ39:AX39)</f>
        <v>0</v>
      </c>
      <c r="AZ39" s="24" t="e">
        <f t="shared" si="61"/>
        <v>#DIV/0!</v>
      </c>
      <c r="BA39" s="25">
        <f t="shared" ref="BA39" si="74">+AY39+AO39+AE39+U39+K39</f>
        <v>0</v>
      </c>
      <c r="BB39" s="24" t="e">
        <f t="shared" si="63"/>
        <v>#DIV/0!</v>
      </c>
    </row>
    <row r="40" spans="1:54" x14ac:dyDescent="0.25">
      <c r="A40" s="20">
        <f t="shared" si="56"/>
        <v>12</v>
      </c>
      <c r="B40" s="32">
        <f t="shared" si="56"/>
        <v>0</v>
      </c>
      <c r="C40" s="21"/>
      <c r="D40" s="22"/>
      <c r="E40" s="22"/>
      <c r="F40" s="22"/>
      <c r="G40" s="22"/>
      <c r="H40" s="23"/>
      <c r="I40" s="23"/>
      <c r="J40" s="23"/>
      <c r="K40" s="22">
        <f t="shared" si="64"/>
        <v>0</v>
      </c>
      <c r="L40" s="24" t="e">
        <f t="shared" si="57"/>
        <v>#DIV/0!</v>
      </c>
      <c r="M40" s="21"/>
      <c r="N40" s="22"/>
      <c r="O40" s="22"/>
      <c r="P40" s="22"/>
      <c r="Q40" s="22"/>
      <c r="R40" s="23"/>
      <c r="S40" s="23"/>
      <c r="T40" s="23"/>
      <c r="U40" s="22">
        <f t="shared" si="65"/>
        <v>0</v>
      </c>
      <c r="V40" s="24" t="e">
        <f t="shared" si="58"/>
        <v>#DIV/0!</v>
      </c>
      <c r="W40" s="21"/>
      <c r="X40" s="22"/>
      <c r="Y40" s="22"/>
      <c r="Z40" s="22"/>
      <c r="AA40" s="22"/>
      <c r="AB40" s="23"/>
      <c r="AC40" s="23"/>
      <c r="AD40" s="23"/>
      <c r="AE40" s="22">
        <f t="shared" si="66"/>
        <v>0</v>
      </c>
      <c r="AF40" s="24" t="e">
        <f t="shared" si="59"/>
        <v>#DIV/0!</v>
      </c>
      <c r="AG40" s="21"/>
      <c r="AH40" s="22"/>
      <c r="AI40" s="22"/>
      <c r="AJ40" s="22"/>
      <c r="AK40" s="22"/>
      <c r="AL40" s="23"/>
      <c r="AM40" s="23"/>
      <c r="AN40" s="23"/>
      <c r="AO40" s="22">
        <f t="shared" si="67"/>
        <v>0</v>
      </c>
      <c r="AP40" s="24" t="e">
        <f t="shared" si="60"/>
        <v>#DIV/0!</v>
      </c>
      <c r="AQ40" s="21"/>
      <c r="AR40" s="22"/>
      <c r="AS40" s="22"/>
      <c r="AT40" s="22"/>
      <c r="AU40" s="22"/>
      <c r="AV40" s="23"/>
      <c r="AW40" s="23"/>
      <c r="AX40" s="23"/>
      <c r="AY40" s="22">
        <f t="shared" si="68"/>
        <v>0</v>
      </c>
      <c r="AZ40" s="24" t="e">
        <f t="shared" si="61"/>
        <v>#DIV/0!</v>
      </c>
      <c r="BA40" s="25">
        <f t="shared" si="62"/>
        <v>0</v>
      </c>
      <c r="BB40" s="24" t="e">
        <f t="shared" si="63"/>
        <v>#DIV/0!</v>
      </c>
    </row>
    <row r="41" spans="1:54" x14ac:dyDescent="0.25">
      <c r="A41" s="20">
        <f t="shared" si="56"/>
        <v>16</v>
      </c>
      <c r="B41" s="32">
        <f t="shared" si="56"/>
        <v>0</v>
      </c>
      <c r="C41" s="21"/>
      <c r="D41" s="22"/>
      <c r="E41" s="22"/>
      <c r="F41" s="22"/>
      <c r="G41" s="22"/>
      <c r="H41" s="23"/>
      <c r="I41" s="23"/>
      <c r="J41" s="23"/>
      <c r="K41" s="22">
        <f t="shared" ref="K41" si="75">SUM(C41:J41)</f>
        <v>0</v>
      </c>
      <c r="L41" s="24" t="e">
        <f t="shared" si="57"/>
        <v>#DIV/0!</v>
      </c>
      <c r="M41" s="21"/>
      <c r="N41" s="22"/>
      <c r="O41" s="22"/>
      <c r="P41" s="22"/>
      <c r="Q41" s="22"/>
      <c r="R41" s="23"/>
      <c r="S41" s="23"/>
      <c r="T41" s="23"/>
      <c r="U41" s="22">
        <f t="shared" ref="U41" si="76">SUM(M41:T41)</f>
        <v>0</v>
      </c>
      <c r="V41" s="24" t="e">
        <f t="shared" si="58"/>
        <v>#DIV/0!</v>
      </c>
      <c r="W41" s="21"/>
      <c r="X41" s="22"/>
      <c r="Y41" s="22"/>
      <c r="Z41" s="22"/>
      <c r="AA41" s="22"/>
      <c r="AB41" s="23"/>
      <c r="AC41" s="23"/>
      <c r="AD41" s="23"/>
      <c r="AE41" s="22">
        <f t="shared" ref="AE41" si="77">SUM(W41:AD41)</f>
        <v>0</v>
      </c>
      <c r="AF41" s="24" t="e">
        <f t="shared" si="59"/>
        <v>#DIV/0!</v>
      </c>
      <c r="AG41" s="21"/>
      <c r="AH41" s="22"/>
      <c r="AI41" s="22"/>
      <c r="AJ41" s="22"/>
      <c r="AK41" s="22"/>
      <c r="AL41" s="23"/>
      <c r="AM41" s="23"/>
      <c r="AN41" s="23"/>
      <c r="AO41" s="22">
        <f t="shared" ref="AO41" si="78">SUM(AG41:AN41)</f>
        <v>0</v>
      </c>
      <c r="AP41" s="24" t="e">
        <f t="shared" si="60"/>
        <v>#DIV/0!</v>
      </c>
      <c r="AQ41" s="21"/>
      <c r="AR41" s="22"/>
      <c r="AS41" s="22"/>
      <c r="AT41" s="22"/>
      <c r="AU41" s="22"/>
      <c r="AV41" s="23"/>
      <c r="AW41" s="23"/>
      <c r="AX41" s="23"/>
      <c r="AY41" s="22">
        <f t="shared" ref="AY41" si="79">SUM(AQ41:AX41)</f>
        <v>0</v>
      </c>
      <c r="AZ41" s="24" t="e">
        <f t="shared" si="61"/>
        <v>#DIV/0!</v>
      </c>
      <c r="BA41" s="25">
        <f t="shared" ref="BA41" si="80">+AY41+AO41+AE41+U41+K41</f>
        <v>0</v>
      </c>
      <c r="BB41" s="24" t="e">
        <f t="shared" si="63"/>
        <v>#DIV/0!</v>
      </c>
    </row>
    <row r="42" spans="1:54" x14ac:dyDescent="0.25">
      <c r="A42" s="20">
        <f t="shared" si="56"/>
        <v>6</v>
      </c>
      <c r="B42" s="32">
        <f t="shared" si="56"/>
        <v>0</v>
      </c>
      <c r="C42" s="21"/>
      <c r="D42" s="22"/>
      <c r="E42" s="22"/>
      <c r="F42" s="22"/>
      <c r="G42" s="22"/>
      <c r="H42" s="23"/>
      <c r="I42" s="23"/>
      <c r="J42" s="23"/>
      <c r="K42" s="22">
        <f t="shared" si="64"/>
        <v>0</v>
      </c>
      <c r="L42" s="24" t="e">
        <f t="shared" si="57"/>
        <v>#DIV/0!</v>
      </c>
      <c r="M42" s="21"/>
      <c r="N42" s="22"/>
      <c r="O42" s="22"/>
      <c r="P42" s="22"/>
      <c r="Q42" s="22"/>
      <c r="R42" s="23"/>
      <c r="S42" s="23"/>
      <c r="T42" s="23"/>
      <c r="U42" s="22">
        <f t="shared" si="65"/>
        <v>0</v>
      </c>
      <c r="V42" s="24" t="e">
        <f t="shared" si="58"/>
        <v>#DIV/0!</v>
      </c>
      <c r="W42" s="21"/>
      <c r="X42" s="22"/>
      <c r="Y42" s="22"/>
      <c r="Z42" s="22"/>
      <c r="AA42" s="22"/>
      <c r="AB42" s="23"/>
      <c r="AC42" s="23"/>
      <c r="AD42" s="23"/>
      <c r="AE42" s="22">
        <f t="shared" si="66"/>
        <v>0</v>
      </c>
      <c r="AF42" s="24" t="e">
        <f t="shared" si="59"/>
        <v>#DIV/0!</v>
      </c>
      <c r="AG42" s="21"/>
      <c r="AH42" s="22"/>
      <c r="AI42" s="22"/>
      <c r="AJ42" s="22"/>
      <c r="AK42" s="22"/>
      <c r="AL42" s="23"/>
      <c r="AM42" s="23"/>
      <c r="AN42" s="23"/>
      <c r="AO42" s="22">
        <f t="shared" si="67"/>
        <v>0</v>
      </c>
      <c r="AP42" s="24" t="e">
        <f t="shared" si="60"/>
        <v>#DIV/0!</v>
      </c>
      <c r="AQ42" s="21"/>
      <c r="AR42" s="22"/>
      <c r="AS42" s="22"/>
      <c r="AT42" s="22"/>
      <c r="AU42" s="22"/>
      <c r="AV42" s="23"/>
      <c r="AW42" s="23"/>
      <c r="AX42" s="23"/>
      <c r="AY42" s="22">
        <f t="shared" si="68"/>
        <v>0</v>
      </c>
      <c r="AZ42" s="24" t="e">
        <f t="shared" si="61"/>
        <v>#DIV/0!</v>
      </c>
      <c r="BA42" s="25">
        <f t="shared" si="62"/>
        <v>0</v>
      </c>
      <c r="BB42" s="24" t="e">
        <f t="shared" si="63"/>
        <v>#DIV/0!</v>
      </c>
    </row>
    <row r="43" spans="1:54" x14ac:dyDescent="0.25">
      <c r="A43" s="20">
        <f t="shared" si="56"/>
        <v>17</v>
      </c>
      <c r="B43" s="32">
        <f t="shared" si="56"/>
        <v>0</v>
      </c>
      <c r="C43" s="21"/>
      <c r="D43" s="22"/>
      <c r="E43" s="22"/>
      <c r="F43" s="22"/>
      <c r="G43" s="22"/>
      <c r="H43" s="23"/>
      <c r="I43" s="23"/>
      <c r="J43" s="23"/>
      <c r="K43" s="22">
        <f t="shared" si="64"/>
        <v>0</v>
      </c>
      <c r="L43" s="24" t="e">
        <f t="shared" si="57"/>
        <v>#DIV/0!</v>
      </c>
      <c r="M43" s="21"/>
      <c r="N43" s="22"/>
      <c r="O43" s="22"/>
      <c r="P43" s="22"/>
      <c r="Q43" s="22"/>
      <c r="R43" s="23"/>
      <c r="S43" s="23"/>
      <c r="T43" s="23"/>
      <c r="U43" s="22">
        <f t="shared" si="65"/>
        <v>0</v>
      </c>
      <c r="V43" s="24" t="e">
        <f t="shared" si="58"/>
        <v>#DIV/0!</v>
      </c>
      <c r="W43" s="21"/>
      <c r="X43" s="22"/>
      <c r="Y43" s="22"/>
      <c r="Z43" s="22"/>
      <c r="AA43" s="22"/>
      <c r="AB43" s="23"/>
      <c r="AC43" s="23"/>
      <c r="AD43" s="23"/>
      <c r="AE43" s="22">
        <f t="shared" si="66"/>
        <v>0</v>
      </c>
      <c r="AF43" s="24" t="e">
        <f t="shared" si="59"/>
        <v>#DIV/0!</v>
      </c>
      <c r="AG43" s="21"/>
      <c r="AH43" s="22"/>
      <c r="AI43" s="22"/>
      <c r="AJ43" s="22"/>
      <c r="AK43" s="22"/>
      <c r="AL43" s="23"/>
      <c r="AM43" s="23"/>
      <c r="AN43" s="23"/>
      <c r="AO43" s="22">
        <f t="shared" si="67"/>
        <v>0</v>
      </c>
      <c r="AP43" s="24" t="e">
        <f t="shared" si="60"/>
        <v>#DIV/0!</v>
      </c>
      <c r="AQ43" s="21"/>
      <c r="AR43" s="22"/>
      <c r="AS43" s="22"/>
      <c r="AT43" s="22"/>
      <c r="AU43" s="22"/>
      <c r="AV43" s="23"/>
      <c r="AW43" s="23"/>
      <c r="AX43" s="23"/>
      <c r="AY43" s="22">
        <f t="shared" si="68"/>
        <v>0</v>
      </c>
      <c r="AZ43" s="24" t="e">
        <f t="shared" si="61"/>
        <v>#DIV/0!</v>
      </c>
      <c r="BA43" s="25">
        <f t="shared" si="62"/>
        <v>0</v>
      </c>
      <c r="BB43" s="24" t="e">
        <f t="shared" si="63"/>
        <v>#DIV/0!</v>
      </c>
    </row>
    <row r="44" spans="1:54" x14ac:dyDescent="0.25">
      <c r="A44" s="20">
        <f t="shared" si="56"/>
        <v>8</v>
      </c>
      <c r="B44" s="32">
        <f t="shared" si="56"/>
        <v>0</v>
      </c>
      <c r="C44" s="21"/>
      <c r="D44" s="22"/>
      <c r="E44" s="22"/>
      <c r="F44" s="22"/>
      <c r="G44" s="22"/>
      <c r="H44" s="23"/>
      <c r="I44" s="23"/>
      <c r="J44" s="23"/>
      <c r="K44" s="22">
        <f t="shared" si="64"/>
        <v>0</v>
      </c>
      <c r="L44" s="24" t="e">
        <f t="shared" si="57"/>
        <v>#DIV/0!</v>
      </c>
      <c r="M44" s="21"/>
      <c r="N44" s="22"/>
      <c r="O44" s="22"/>
      <c r="P44" s="22"/>
      <c r="Q44" s="22"/>
      <c r="R44" s="23"/>
      <c r="S44" s="23"/>
      <c r="T44" s="23"/>
      <c r="U44" s="22">
        <f t="shared" si="65"/>
        <v>0</v>
      </c>
      <c r="V44" s="24" t="e">
        <f t="shared" si="58"/>
        <v>#DIV/0!</v>
      </c>
      <c r="W44" s="21"/>
      <c r="X44" s="22"/>
      <c r="Y44" s="22"/>
      <c r="Z44" s="22"/>
      <c r="AA44" s="22"/>
      <c r="AB44" s="23"/>
      <c r="AC44" s="23"/>
      <c r="AD44" s="23"/>
      <c r="AE44" s="22">
        <f t="shared" si="66"/>
        <v>0</v>
      </c>
      <c r="AF44" s="24" t="e">
        <f t="shared" si="59"/>
        <v>#DIV/0!</v>
      </c>
      <c r="AG44" s="21"/>
      <c r="AH44" s="22"/>
      <c r="AI44" s="22"/>
      <c r="AJ44" s="22"/>
      <c r="AK44" s="22"/>
      <c r="AL44" s="23"/>
      <c r="AM44" s="23"/>
      <c r="AN44" s="23"/>
      <c r="AO44" s="22">
        <f t="shared" si="67"/>
        <v>0</v>
      </c>
      <c r="AP44" s="24" t="e">
        <f t="shared" si="60"/>
        <v>#DIV/0!</v>
      </c>
      <c r="AQ44" s="21"/>
      <c r="AR44" s="22"/>
      <c r="AS44" s="22"/>
      <c r="AT44" s="22"/>
      <c r="AU44" s="22"/>
      <c r="AV44" s="23"/>
      <c r="AW44" s="23"/>
      <c r="AX44" s="23"/>
      <c r="AY44" s="22">
        <f t="shared" si="68"/>
        <v>0</v>
      </c>
      <c r="AZ44" s="24" t="e">
        <f t="shared" si="61"/>
        <v>#DIV/0!</v>
      </c>
      <c r="BA44" s="25">
        <f t="shared" si="62"/>
        <v>0</v>
      </c>
      <c r="BB44" s="24" t="e">
        <f t="shared" si="63"/>
        <v>#DIV/0!</v>
      </c>
    </row>
    <row r="45" spans="1:54" x14ac:dyDescent="0.25">
      <c r="A45" s="20">
        <f t="shared" si="56"/>
        <v>22</v>
      </c>
      <c r="B45" s="32">
        <f t="shared" si="56"/>
        <v>0</v>
      </c>
      <c r="C45" s="26"/>
      <c r="D45" s="27"/>
      <c r="E45" s="27"/>
      <c r="F45" s="27"/>
      <c r="G45" s="27"/>
      <c r="H45" s="23"/>
      <c r="I45" s="23"/>
      <c r="J45" s="23"/>
      <c r="K45" s="22">
        <f t="shared" ref="K45" si="81">SUM(C45:J45)</f>
        <v>0</v>
      </c>
      <c r="L45" s="24" t="e">
        <f t="shared" si="57"/>
        <v>#DIV/0!</v>
      </c>
      <c r="M45" s="26"/>
      <c r="N45" s="27"/>
      <c r="O45" s="27"/>
      <c r="P45" s="27"/>
      <c r="Q45" s="27"/>
      <c r="R45" s="23"/>
      <c r="S45" s="23"/>
      <c r="T45" s="23"/>
      <c r="U45" s="22">
        <f t="shared" ref="U45" si="82">SUM(M45:T45)</f>
        <v>0</v>
      </c>
      <c r="V45" s="24" t="e">
        <f t="shared" si="58"/>
        <v>#DIV/0!</v>
      </c>
      <c r="W45" s="26"/>
      <c r="X45" s="27"/>
      <c r="Y45" s="27"/>
      <c r="Z45" s="27"/>
      <c r="AA45" s="27"/>
      <c r="AB45" s="23"/>
      <c r="AC45" s="23"/>
      <c r="AD45" s="23"/>
      <c r="AE45" s="22">
        <f>SUM(W45:AD45)</f>
        <v>0</v>
      </c>
      <c r="AF45" s="24" t="e">
        <f t="shared" si="59"/>
        <v>#DIV/0!</v>
      </c>
      <c r="AG45" s="26"/>
      <c r="AH45" s="27"/>
      <c r="AI45" s="27"/>
      <c r="AJ45" s="27"/>
      <c r="AK45" s="27"/>
      <c r="AL45" s="23"/>
      <c r="AM45" s="23"/>
      <c r="AN45" s="23"/>
      <c r="AO45" s="22">
        <f t="shared" ref="AO45" si="83">SUM(AG45:AN45)</f>
        <v>0</v>
      </c>
      <c r="AP45" s="24" t="e">
        <f t="shared" si="60"/>
        <v>#DIV/0!</v>
      </c>
      <c r="AQ45" s="26"/>
      <c r="AR45" s="27"/>
      <c r="AS45" s="27"/>
      <c r="AT45" s="27"/>
      <c r="AU45" s="27"/>
      <c r="AV45" s="23"/>
      <c r="AW45" s="23"/>
      <c r="AX45" s="23"/>
      <c r="AY45" s="22">
        <f t="shared" ref="AY45" si="84">SUM(AQ45:AX45)</f>
        <v>0</v>
      </c>
      <c r="AZ45" s="24" t="e">
        <f t="shared" si="61"/>
        <v>#DIV/0!</v>
      </c>
      <c r="BA45" s="25">
        <f t="shared" ref="BA45" si="85">+AY45+AO45+AE45+U45+K45</f>
        <v>0</v>
      </c>
      <c r="BB45" s="24" t="e">
        <f t="shared" si="63"/>
        <v>#DIV/0!</v>
      </c>
    </row>
    <row r="46" spans="1:54" x14ac:dyDescent="0.25">
      <c r="A46" s="20">
        <f t="shared" si="56"/>
        <v>10</v>
      </c>
      <c r="B46" s="32">
        <f t="shared" si="56"/>
        <v>0</v>
      </c>
      <c r="C46" s="28"/>
      <c r="D46" s="29"/>
      <c r="E46" s="29"/>
      <c r="F46" s="29"/>
      <c r="G46" s="29"/>
      <c r="H46" s="30"/>
      <c r="I46" s="30"/>
      <c r="J46" s="30"/>
      <c r="K46" s="22">
        <f t="shared" si="64"/>
        <v>0</v>
      </c>
      <c r="L46" s="24" t="e">
        <f t="shared" si="57"/>
        <v>#DIV/0!</v>
      </c>
      <c r="M46" s="28"/>
      <c r="N46" s="29"/>
      <c r="O46" s="29"/>
      <c r="P46" s="29"/>
      <c r="Q46" s="29"/>
      <c r="R46" s="30"/>
      <c r="S46" s="30"/>
      <c r="T46" s="30"/>
      <c r="U46" s="22">
        <f t="shared" si="65"/>
        <v>0</v>
      </c>
      <c r="V46" s="24" t="e">
        <f t="shared" si="58"/>
        <v>#DIV/0!</v>
      </c>
      <c r="W46" s="28"/>
      <c r="X46" s="29"/>
      <c r="Y46" s="29"/>
      <c r="Z46" s="29"/>
      <c r="AA46" s="29"/>
      <c r="AB46" s="30"/>
      <c r="AC46" s="30"/>
      <c r="AD46" s="30"/>
      <c r="AE46" s="22">
        <f t="shared" si="66"/>
        <v>0</v>
      </c>
      <c r="AF46" s="24" t="e">
        <f t="shared" si="59"/>
        <v>#DIV/0!</v>
      </c>
      <c r="AG46" s="28"/>
      <c r="AH46" s="29"/>
      <c r="AI46" s="29"/>
      <c r="AJ46" s="29"/>
      <c r="AK46" s="29"/>
      <c r="AL46" s="30"/>
      <c r="AM46" s="30"/>
      <c r="AN46" s="30"/>
      <c r="AO46" s="22">
        <f t="shared" si="67"/>
        <v>0</v>
      </c>
      <c r="AP46" s="24" t="e">
        <f t="shared" si="60"/>
        <v>#DIV/0!</v>
      </c>
      <c r="AQ46" s="28"/>
      <c r="AR46" s="29"/>
      <c r="AS46" s="29"/>
      <c r="AT46" s="29"/>
      <c r="AU46" s="29"/>
      <c r="AV46" s="30"/>
      <c r="AW46" s="30"/>
      <c r="AX46" s="30"/>
      <c r="AY46" s="22">
        <f t="shared" si="68"/>
        <v>0</v>
      </c>
      <c r="AZ46" s="24" t="e">
        <f t="shared" si="61"/>
        <v>#DIV/0!</v>
      </c>
      <c r="BA46" s="25">
        <f t="shared" si="62"/>
        <v>0</v>
      </c>
      <c r="BB46" s="24" t="e">
        <f t="shared" si="63"/>
        <v>#DIV/0!</v>
      </c>
    </row>
    <row r="47" spans="1:54" x14ac:dyDescent="0.25">
      <c r="A47" s="20">
        <f t="shared" si="56"/>
        <v>7</v>
      </c>
      <c r="B47" s="32">
        <f t="shared" si="56"/>
        <v>0</v>
      </c>
      <c r="C47" s="26"/>
      <c r="D47" s="27"/>
      <c r="E47" s="27"/>
      <c r="F47" s="22"/>
      <c r="G47" s="22"/>
      <c r="H47" s="23"/>
      <c r="I47" s="23"/>
      <c r="J47" s="23"/>
      <c r="K47" s="22">
        <f>SUM(C47:J47)</f>
        <v>0</v>
      </c>
      <c r="L47" s="24" t="e">
        <f t="shared" si="57"/>
        <v>#DIV/0!</v>
      </c>
      <c r="M47" s="26"/>
      <c r="N47" s="27"/>
      <c r="O47" s="27"/>
      <c r="P47" s="22"/>
      <c r="Q47" s="22"/>
      <c r="R47" s="23"/>
      <c r="S47" s="23"/>
      <c r="T47" s="23"/>
      <c r="U47" s="22">
        <f>SUM(M47:T47)</f>
        <v>0</v>
      </c>
      <c r="V47" s="24" t="e">
        <f t="shared" si="58"/>
        <v>#DIV/0!</v>
      </c>
      <c r="W47" s="26"/>
      <c r="X47" s="27"/>
      <c r="Y47" s="27"/>
      <c r="Z47" s="22"/>
      <c r="AA47" s="22"/>
      <c r="AB47" s="23"/>
      <c r="AC47" s="23"/>
      <c r="AD47" s="23"/>
      <c r="AE47" s="22">
        <f>SUM(W47:AD47)</f>
        <v>0</v>
      </c>
      <c r="AF47" s="24" t="e">
        <f t="shared" si="59"/>
        <v>#DIV/0!</v>
      </c>
      <c r="AG47" s="26"/>
      <c r="AH47" s="27"/>
      <c r="AI47" s="27"/>
      <c r="AJ47" s="22"/>
      <c r="AK47" s="22"/>
      <c r="AL47" s="23"/>
      <c r="AM47" s="23"/>
      <c r="AN47" s="23"/>
      <c r="AO47" s="22">
        <f>SUM(AG47:AN47)</f>
        <v>0</v>
      </c>
      <c r="AP47" s="24" t="e">
        <f t="shared" si="60"/>
        <v>#DIV/0!</v>
      </c>
      <c r="AQ47" s="26"/>
      <c r="AR47" s="27"/>
      <c r="AS47" s="27"/>
      <c r="AT47" s="22"/>
      <c r="AU47" s="22"/>
      <c r="AV47" s="23"/>
      <c r="AW47" s="23"/>
      <c r="AX47" s="23"/>
      <c r="AY47" s="22">
        <f>SUM(AQ47:AX47)</f>
        <v>0</v>
      </c>
      <c r="AZ47" s="24" t="e">
        <f t="shared" si="61"/>
        <v>#DIV/0!</v>
      </c>
      <c r="BA47" s="25">
        <f>+AY47+AO47+AE47+U47+K47</f>
        <v>0</v>
      </c>
      <c r="BB47" s="24" t="e">
        <f t="shared" si="63"/>
        <v>#DIV/0!</v>
      </c>
    </row>
    <row r="48" spans="1:54" x14ac:dyDescent="0.25">
      <c r="A48" s="20">
        <f t="shared" ref="A48:B49" si="86">A25</f>
        <v>9</v>
      </c>
      <c r="B48" s="32">
        <f t="shared" si="86"/>
        <v>0</v>
      </c>
      <c r="C48" s="26"/>
      <c r="D48" s="27"/>
      <c r="E48" s="27"/>
      <c r="F48" s="22"/>
      <c r="G48" s="22"/>
      <c r="H48" s="23"/>
      <c r="I48" s="23"/>
      <c r="J48" s="23"/>
      <c r="K48" s="22">
        <f t="shared" ref="K48" si="87">SUM(C48:J48)</f>
        <v>0</v>
      </c>
      <c r="L48" s="24" t="e">
        <f t="shared" si="57"/>
        <v>#DIV/0!</v>
      </c>
      <c r="M48" s="26"/>
      <c r="N48" s="27"/>
      <c r="O48" s="27"/>
      <c r="P48" s="22"/>
      <c r="Q48" s="22"/>
      <c r="R48" s="23"/>
      <c r="S48" s="23"/>
      <c r="T48" s="23"/>
      <c r="U48" s="22">
        <f t="shared" ref="U48" si="88">SUM(M48:T48)</f>
        <v>0</v>
      </c>
      <c r="V48" s="24" t="e">
        <f t="shared" si="58"/>
        <v>#DIV/0!</v>
      </c>
      <c r="W48" s="26"/>
      <c r="X48" s="27"/>
      <c r="Y48" s="27"/>
      <c r="Z48" s="22"/>
      <c r="AA48" s="22"/>
      <c r="AB48" s="23"/>
      <c r="AC48" s="23"/>
      <c r="AD48" s="23"/>
      <c r="AE48" s="22">
        <f t="shared" ref="AE48" si="89">SUM(W48:AD48)</f>
        <v>0</v>
      </c>
      <c r="AF48" s="24" t="e">
        <f t="shared" si="59"/>
        <v>#DIV/0!</v>
      </c>
      <c r="AG48" s="26"/>
      <c r="AH48" s="27"/>
      <c r="AI48" s="27"/>
      <c r="AJ48" s="22"/>
      <c r="AK48" s="22"/>
      <c r="AL48" s="23"/>
      <c r="AM48" s="23"/>
      <c r="AN48" s="23"/>
      <c r="AO48" s="22">
        <f t="shared" ref="AO48" si="90">SUM(AG48:AN48)</f>
        <v>0</v>
      </c>
      <c r="AP48" s="24" t="e">
        <f t="shared" si="60"/>
        <v>#DIV/0!</v>
      </c>
      <c r="AQ48" s="26"/>
      <c r="AR48" s="27"/>
      <c r="AS48" s="27"/>
      <c r="AT48" s="22"/>
      <c r="AU48" s="22"/>
      <c r="AV48" s="23"/>
      <c r="AW48" s="23"/>
      <c r="AX48" s="23"/>
      <c r="AY48" s="22">
        <f t="shared" ref="AY48" si="91">SUM(AQ48:AX48)</f>
        <v>0</v>
      </c>
      <c r="AZ48" s="24" t="e">
        <f t="shared" si="61"/>
        <v>#DIV/0!</v>
      </c>
      <c r="BA48" s="25">
        <f t="shared" ref="BA48" si="92">+AY48+AO48+AE48+U48+K48</f>
        <v>0</v>
      </c>
      <c r="BB48" s="24" t="e">
        <f t="shared" si="63"/>
        <v>#DIV/0!</v>
      </c>
    </row>
    <row r="49" spans="1:54" x14ac:dyDescent="0.25">
      <c r="A49" s="20">
        <f t="shared" si="86"/>
        <v>3</v>
      </c>
      <c r="B49" s="32">
        <f t="shared" si="86"/>
        <v>0</v>
      </c>
      <c r="C49" s="26"/>
      <c r="D49" s="27"/>
      <c r="E49" s="27"/>
      <c r="F49" s="22"/>
      <c r="G49" s="22"/>
      <c r="H49" s="23"/>
      <c r="I49" s="23"/>
      <c r="J49" s="23"/>
      <c r="K49" s="22">
        <f t="shared" ref="K49" si="93">SUM(C49:J49)</f>
        <v>0</v>
      </c>
      <c r="L49" s="24" t="e">
        <f t="shared" si="57"/>
        <v>#DIV/0!</v>
      </c>
      <c r="M49" s="26"/>
      <c r="N49" s="27"/>
      <c r="O49" s="27"/>
      <c r="P49" s="22"/>
      <c r="Q49" s="22"/>
      <c r="R49" s="23"/>
      <c r="S49" s="23"/>
      <c r="T49" s="23"/>
      <c r="U49" s="22">
        <f t="shared" ref="U49" si="94">SUM(M49:T49)</f>
        <v>0</v>
      </c>
      <c r="V49" s="24" t="e">
        <f t="shared" si="58"/>
        <v>#DIV/0!</v>
      </c>
      <c r="W49" s="26"/>
      <c r="X49" s="27"/>
      <c r="Y49" s="27"/>
      <c r="Z49" s="22"/>
      <c r="AA49" s="22"/>
      <c r="AB49" s="23"/>
      <c r="AC49" s="23"/>
      <c r="AD49" s="23"/>
      <c r="AE49" s="22">
        <f t="shared" ref="AE49" si="95">SUM(W49:AD49)</f>
        <v>0</v>
      </c>
      <c r="AF49" s="24" t="e">
        <f t="shared" si="59"/>
        <v>#DIV/0!</v>
      </c>
      <c r="AG49" s="26"/>
      <c r="AH49" s="27"/>
      <c r="AI49" s="27"/>
      <c r="AJ49" s="22"/>
      <c r="AK49" s="22"/>
      <c r="AL49" s="23"/>
      <c r="AM49" s="23"/>
      <c r="AN49" s="23"/>
      <c r="AO49" s="22">
        <f t="shared" ref="AO49" si="96">SUM(AG49:AN49)</f>
        <v>0</v>
      </c>
      <c r="AP49" s="24" t="e">
        <f t="shared" si="60"/>
        <v>#DIV/0!</v>
      </c>
      <c r="AQ49" s="26"/>
      <c r="AR49" s="27"/>
      <c r="AS49" s="27"/>
      <c r="AT49" s="22"/>
      <c r="AU49" s="22"/>
      <c r="AV49" s="23"/>
      <c r="AW49" s="23"/>
      <c r="AX49" s="23"/>
      <c r="AY49" s="22">
        <f t="shared" ref="AY49" si="97">SUM(AQ49:AX49)</f>
        <v>0</v>
      </c>
      <c r="AZ49" s="24" t="e">
        <f t="shared" si="61"/>
        <v>#DIV/0!</v>
      </c>
      <c r="BA49" s="25">
        <f t="shared" ref="BA49" si="98">+AY49+AO49+AE49+U49+K49</f>
        <v>0</v>
      </c>
      <c r="BB49" s="24" t="e">
        <f t="shared" si="63"/>
        <v>#DIV/0!</v>
      </c>
    </row>
    <row r="50" spans="1:54" x14ac:dyDescent="0.25">
      <c r="A50" s="20"/>
      <c r="B50" s="32" t="str">
        <f>B27</f>
        <v>Contrario</v>
      </c>
      <c r="C50" s="33"/>
      <c r="D50" s="34"/>
      <c r="E50" s="34"/>
      <c r="F50" s="34"/>
      <c r="G50" s="34"/>
      <c r="H50" s="35"/>
      <c r="I50" s="35"/>
      <c r="J50" s="35"/>
      <c r="K50" s="22">
        <f t="shared" si="64"/>
        <v>0</v>
      </c>
      <c r="L50" s="24" t="e">
        <f t="shared" si="57"/>
        <v>#DIV/0!</v>
      </c>
      <c r="M50" s="33"/>
      <c r="N50" s="34"/>
      <c r="O50" s="34"/>
      <c r="P50" s="34"/>
      <c r="Q50" s="34"/>
      <c r="R50" s="35"/>
      <c r="S50" s="35"/>
      <c r="T50" s="35"/>
      <c r="U50" s="22">
        <f t="shared" ref="U50" si="99">SUM(M50:T50)</f>
        <v>0</v>
      </c>
      <c r="V50" s="24" t="e">
        <f t="shared" si="58"/>
        <v>#DIV/0!</v>
      </c>
      <c r="W50" s="33"/>
      <c r="X50" s="34"/>
      <c r="Y50" s="34"/>
      <c r="Z50" s="34"/>
      <c r="AA50" s="34"/>
      <c r="AB50" s="35"/>
      <c r="AC50" s="35"/>
      <c r="AD50" s="35"/>
      <c r="AE50" s="22">
        <f t="shared" ref="AE50" si="100">SUM(W50:AD50)</f>
        <v>0</v>
      </c>
      <c r="AF50" s="24" t="e">
        <f t="shared" si="59"/>
        <v>#DIV/0!</v>
      </c>
      <c r="AG50" s="33"/>
      <c r="AH50" s="34"/>
      <c r="AI50" s="34"/>
      <c r="AJ50" s="34"/>
      <c r="AK50" s="34"/>
      <c r="AL50" s="35"/>
      <c r="AM50" s="35"/>
      <c r="AN50" s="35"/>
      <c r="AO50" s="22"/>
      <c r="AP50" s="24" t="e">
        <f t="shared" si="60"/>
        <v>#DIV/0!</v>
      </c>
      <c r="AQ50" s="33"/>
      <c r="AR50" s="34"/>
      <c r="AS50" s="34"/>
      <c r="AT50" s="34"/>
      <c r="AU50" s="34"/>
      <c r="AV50" s="35"/>
      <c r="AW50" s="35"/>
      <c r="AX50" s="35"/>
      <c r="AY50" s="22">
        <f t="shared" ref="AY50" si="101">SUM(AQ50:AX50)</f>
        <v>0</v>
      </c>
      <c r="AZ50" s="24" t="e">
        <f t="shared" si="61"/>
        <v>#DIV/0!</v>
      </c>
      <c r="BA50" s="36">
        <f t="shared" si="62"/>
        <v>0</v>
      </c>
      <c r="BB50" s="37" t="e">
        <f t="shared" si="63"/>
        <v>#DIV/0!</v>
      </c>
    </row>
    <row r="51" spans="1:54" x14ac:dyDescent="0.25">
      <c r="A51" s="38"/>
      <c r="B51" s="39" t="s">
        <v>10</v>
      </c>
      <c r="C51" s="40">
        <f t="shared" ref="C51:K51" si="102">SUM(C33:C50)</f>
        <v>0</v>
      </c>
      <c r="D51" s="41">
        <f t="shared" si="102"/>
        <v>0</v>
      </c>
      <c r="E51" s="41">
        <f t="shared" si="102"/>
        <v>0</v>
      </c>
      <c r="F51" s="41">
        <f t="shared" si="102"/>
        <v>0</v>
      </c>
      <c r="G51" s="41">
        <f t="shared" si="102"/>
        <v>0</v>
      </c>
      <c r="H51" s="41">
        <f t="shared" si="102"/>
        <v>0</v>
      </c>
      <c r="I51" s="41">
        <f t="shared" si="102"/>
        <v>0</v>
      </c>
      <c r="J51" s="41">
        <f t="shared" si="102"/>
        <v>0</v>
      </c>
      <c r="K51" s="41">
        <f t="shared" si="102"/>
        <v>0</v>
      </c>
      <c r="L51" s="42"/>
      <c r="M51" s="40">
        <f t="shared" ref="M51:U51" si="103">SUM(M33:M50)</f>
        <v>0</v>
      </c>
      <c r="N51" s="41">
        <f t="shared" si="103"/>
        <v>0</v>
      </c>
      <c r="O51" s="41">
        <f t="shared" si="103"/>
        <v>0</v>
      </c>
      <c r="P51" s="41">
        <f t="shared" si="103"/>
        <v>0</v>
      </c>
      <c r="Q51" s="41">
        <f t="shared" si="103"/>
        <v>0</v>
      </c>
      <c r="R51" s="41">
        <f t="shared" si="103"/>
        <v>0</v>
      </c>
      <c r="S51" s="41">
        <f t="shared" si="103"/>
        <v>0</v>
      </c>
      <c r="T51" s="41">
        <f t="shared" si="103"/>
        <v>0</v>
      </c>
      <c r="U51" s="41">
        <f t="shared" si="103"/>
        <v>0</v>
      </c>
      <c r="V51" s="42"/>
      <c r="W51" s="40">
        <f t="shared" ref="W51:AE51" si="104">SUM(W33:W50)</f>
        <v>0</v>
      </c>
      <c r="X51" s="41">
        <f t="shared" si="104"/>
        <v>0</v>
      </c>
      <c r="Y51" s="41">
        <f t="shared" si="104"/>
        <v>0</v>
      </c>
      <c r="Z51" s="41">
        <f t="shared" si="104"/>
        <v>0</v>
      </c>
      <c r="AA51" s="41">
        <f t="shared" si="104"/>
        <v>0</v>
      </c>
      <c r="AB51" s="41">
        <f>SUM(AB33:AB50)</f>
        <v>0</v>
      </c>
      <c r="AC51" s="41">
        <f t="shared" si="104"/>
        <v>0</v>
      </c>
      <c r="AD51" s="41">
        <f t="shared" si="104"/>
        <v>0</v>
      </c>
      <c r="AE51" s="41">
        <f t="shared" si="104"/>
        <v>0</v>
      </c>
      <c r="AF51" s="42"/>
      <c r="AG51" s="40">
        <f t="shared" ref="AG51:AO51" si="105">SUM(AG33:AG50)</f>
        <v>0</v>
      </c>
      <c r="AH51" s="41">
        <f t="shared" si="105"/>
        <v>0</v>
      </c>
      <c r="AI51" s="41">
        <f t="shared" si="105"/>
        <v>0</v>
      </c>
      <c r="AJ51" s="41">
        <f t="shared" si="105"/>
        <v>0</v>
      </c>
      <c r="AK51" s="41">
        <f t="shared" si="105"/>
        <v>0</v>
      </c>
      <c r="AL51" s="41">
        <f t="shared" si="105"/>
        <v>0</v>
      </c>
      <c r="AM51" s="41">
        <f t="shared" si="105"/>
        <v>0</v>
      </c>
      <c r="AN51" s="41">
        <f t="shared" si="105"/>
        <v>0</v>
      </c>
      <c r="AO51" s="41">
        <f t="shared" si="105"/>
        <v>0</v>
      </c>
      <c r="AP51" s="42"/>
      <c r="AQ51" s="40">
        <f t="shared" ref="AQ51:AY51" si="106">SUM(AQ33:AQ50)</f>
        <v>0</v>
      </c>
      <c r="AR51" s="41">
        <f t="shared" si="106"/>
        <v>0</v>
      </c>
      <c r="AS51" s="41">
        <f t="shared" si="106"/>
        <v>0</v>
      </c>
      <c r="AT51" s="41">
        <f t="shared" si="106"/>
        <v>0</v>
      </c>
      <c r="AU51" s="41">
        <f t="shared" si="106"/>
        <v>0</v>
      </c>
      <c r="AV51" s="41">
        <f t="shared" si="106"/>
        <v>0</v>
      </c>
      <c r="AW51" s="41">
        <f t="shared" si="106"/>
        <v>0</v>
      </c>
      <c r="AX51" s="41">
        <f t="shared" si="106"/>
        <v>0</v>
      </c>
      <c r="AY51" s="41">
        <f t="shared" si="106"/>
        <v>0</v>
      </c>
      <c r="AZ51" s="42"/>
      <c r="BA51" s="43">
        <f t="shared" si="62"/>
        <v>0</v>
      </c>
      <c r="BB51" s="44"/>
    </row>
    <row r="52" spans="1:54" ht="16.5" thickBot="1" x14ac:dyDescent="0.3">
      <c r="A52" s="45"/>
      <c r="B52" s="46" t="s">
        <v>8</v>
      </c>
      <c r="C52" s="47" t="e">
        <f>+C51*100/$K51</f>
        <v>#DIV/0!</v>
      </c>
      <c r="D52" s="48" t="e">
        <f>+D51*100/$K51</f>
        <v>#DIV/0!</v>
      </c>
      <c r="E52" s="48" t="e">
        <f>+E51*100/$K51</f>
        <v>#DIV/0!</v>
      </c>
      <c r="F52" s="48" t="e">
        <f>+F51*100/$K51</f>
        <v>#DIV/0!</v>
      </c>
      <c r="G52" s="48" t="e">
        <f t="shared" ref="G52:J52" si="107">+G51*100/$K51</f>
        <v>#DIV/0!</v>
      </c>
      <c r="H52" s="48" t="e">
        <f t="shared" si="107"/>
        <v>#DIV/0!</v>
      </c>
      <c r="I52" s="48" t="e">
        <f t="shared" si="107"/>
        <v>#DIV/0!</v>
      </c>
      <c r="J52" s="48" t="e">
        <f t="shared" si="107"/>
        <v>#DIV/0!</v>
      </c>
      <c r="K52" s="49"/>
      <c r="L52" s="50"/>
      <c r="M52" s="47" t="e">
        <f t="shared" ref="M52:T52" si="108">+M51*100/$K51</f>
        <v>#DIV/0!</v>
      </c>
      <c r="N52" s="48" t="e">
        <f t="shared" si="108"/>
        <v>#DIV/0!</v>
      </c>
      <c r="O52" s="48" t="e">
        <f t="shared" si="108"/>
        <v>#DIV/0!</v>
      </c>
      <c r="P52" s="48" t="e">
        <f t="shared" si="108"/>
        <v>#DIV/0!</v>
      </c>
      <c r="Q52" s="48" t="e">
        <f t="shared" si="108"/>
        <v>#DIV/0!</v>
      </c>
      <c r="R52" s="48" t="e">
        <f t="shared" si="108"/>
        <v>#DIV/0!</v>
      </c>
      <c r="S52" s="48" t="e">
        <f t="shared" si="108"/>
        <v>#DIV/0!</v>
      </c>
      <c r="T52" s="48" t="e">
        <f t="shared" si="108"/>
        <v>#DIV/0!</v>
      </c>
      <c r="U52" s="49"/>
      <c r="V52" s="50"/>
      <c r="W52" s="47" t="e">
        <f t="shared" ref="W52:AD52" si="109">+W51*100/$K51</f>
        <v>#DIV/0!</v>
      </c>
      <c r="X52" s="48" t="e">
        <f t="shared" si="109"/>
        <v>#DIV/0!</v>
      </c>
      <c r="Y52" s="48" t="e">
        <f t="shared" si="109"/>
        <v>#DIV/0!</v>
      </c>
      <c r="Z52" s="48" t="e">
        <f t="shared" si="109"/>
        <v>#DIV/0!</v>
      </c>
      <c r="AA52" s="48" t="e">
        <f t="shared" si="109"/>
        <v>#DIV/0!</v>
      </c>
      <c r="AB52" s="48" t="e">
        <f t="shared" si="109"/>
        <v>#DIV/0!</v>
      </c>
      <c r="AC52" s="48" t="e">
        <f t="shared" si="109"/>
        <v>#DIV/0!</v>
      </c>
      <c r="AD52" s="48" t="e">
        <f t="shared" si="109"/>
        <v>#DIV/0!</v>
      </c>
      <c r="AE52" s="49"/>
      <c r="AF52" s="50"/>
      <c r="AG52" s="47" t="e">
        <f t="shared" ref="AG52:AN52" si="110">+AG51*100/$K51</f>
        <v>#DIV/0!</v>
      </c>
      <c r="AH52" s="48" t="e">
        <f t="shared" si="110"/>
        <v>#DIV/0!</v>
      </c>
      <c r="AI52" s="48" t="e">
        <f t="shared" si="110"/>
        <v>#DIV/0!</v>
      </c>
      <c r="AJ52" s="48" t="e">
        <f t="shared" si="110"/>
        <v>#DIV/0!</v>
      </c>
      <c r="AK52" s="48" t="e">
        <f t="shared" si="110"/>
        <v>#DIV/0!</v>
      </c>
      <c r="AL52" s="48" t="e">
        <f t="shared" si="110"/>
        <v>#DIV/0!</v>
      </c>
      <c r="AM52" s="48" t="e">
        <f t="shared" si="110"/>
        <v>#DIV/0!</v>
      </c>
      <c r="AN52" s="48" t="e">
        <f t="shared" si="110"/>
        <v>#DIV/0!</v>
      </c>
      <c r="AO52" s="49"/>
      <c r="AP52" s="50"/>
      <c r="AQ52" s="47" t="e">
        <f t="shared" ref="AQ52:AX52" si="111">+AQ51*100/$K51</f>
        <v>#DIV/0!</v>
      </c>
      <c r="AR52" s="48" t="e">
        <f t="shared" si="111"/>
        <v>#DIV/0!</v>
      </c>
      <c r="AS52" s="48" t="e">
        <f t="shared" si="111"/>
        <v>#DIV/0!</v>
      </c>
      <c r="AT52" s="48" t="e">
        <f t="shared" si="111"/>
        <v>#DIV/0!</v>
      </c>
      <c r="AU52" s="48" t="e">
        <f t="shared" si="111"/>
        <v>#DIV/0!</v>
      </c>
      <c r="AV52" s="48" t="e">
        <f t="shared" si="111"/>
        <v>#DIV/0!</v>
      </c>
      <c r="AW52" s="48" t="e">
        <f t="shared" si="111"/>
        <v>#DIV/0!</v>
      </c>
      <c r="AX52" s="48" t="e">
        <f t="shared" si="111"/>
        <v>#DIV/0!</v>
      </c>
      <c r="AY52" s="49"/>
      <c r="AZ52" s="50"/>
      <c r="BA52" s="51"/>
      <c r="BB52" s="52"/>
    </row>
    <row r="53" spans="1:54" ht="16.5" thickBot="1" x14ac:dyDescent="0.3"/>
    <row r="54" spans="1:54" ht="16.5" thickBot="1" x14ac:dyDescent="0.3">
      <c r="A54" s="14"/>
      <c r="B54" s="7"/>
      <c r="C54" s="103" t="s">
        <v>28</v>
      </c>
      <c r="D54" s="104"/>
      <c r="E54" s="104" t="s">
        <v>29</v>
      </c>
      <c r="F54" s="105"/>
      <c r="G54" s="56" t="s">
        <v>8</v>
      </c>
      <c r="H54" s="94" t="s">
        <v>47</v>
      </c>
      <c r="I54" s="96"/>
      <c r="M54" s="7"/>
      <c r="N54" s="7"/>
      <c r="O54" s="92" t="str">
        <f>B4</f>
        <v>CVR36 SM</v>
      </c>
      <c r="P54" s="93"/>
      <c r="Q54" s="93" t="s">
        <v>9</v>
      </c>
      <c r="R54" s="106"/>
    </row>
    <row r="55" spans="1:54" x14ac:dyDescent="0.25">
      <c r="A55" s="57" t="s">
        <v>0</v>
      </c>
      <c r="B55" s="58" t="s">
        <v>1</v>
      </c>
      <c r="C55" s="13" t="s">
        <v>7</v>
      </c>
      <c r="D55" s="11" t="s">
        <v>8</v>
      </c>
      <c r="E55" s="11" t="s">
        <v>7</v>
      </c>
      <c r="F55" s="12" t="s">
        <v>8</v>
      </c>
      <c r="G55" s="59" t="s">
        <v>30</v>
      </c>
      <c r="H55" s="13" t="s">
        <v>31</v>
      </c>
      <c r="I55" s="12" t="s">
        <v>32</v>
      </c>
      <c r="M55" s="92" t="s">
        <v>33</v>
      </c>
      <c r="N55" s="93"/>
      <c r="O55" s="60" t="s">
        <v>7</v>
      </c>
      <c r="P55" s="60" t="s">
        <v>8</v>
      </c>
      <c r="Q55" s="60" t="s">
        <v>7</v>
      </c>
      <c r="R55" s="61" t="s">
        <v>8</v>
      </c>
    </row>
    <row r="56" spans="1:54" x14ac:dyDescent="0.25">
      <c r="A56" s="62">
        <f t="shared" ref="A56:B59" si="112">A33</f>
        <v>1</v>
      </c>
      <c r="B56" s="63" t="str">
        <f t="shared" si="112"/>
        <v>Ilias</v>
      </c>
      <c r="C56" s="19">
        <f t="shared" ref="C56:C73" si="113">BA10</f>
        <v>2</v>
      </c>
      <c r="D56" s="64">
        <f t="shared" ref="D56:D73" si="114">BB10</f>
        <v>25</v>
      </c>
      <c r="E56" s="16">
        <f t="shared" ref="E56:F59" si="115">BA33</f>
        <v>0</v>
      </c>
      <c r="F56" s="18" t="e">
        <f t="shared" si="115"/>
        <v>#DIV/0!</v>
      </c>
      <c r="G56" s="18">
        <f t="shared" ref="G56:G73" si="116">(+E56+C56)*100/($C$74+$E$74)</f>
        <v>25</v>
      </c>
      <c r="H56" s="19">
        <f t="shared" ref="H56:H71" si="117">+C56*100/(C56+E56)</f>
        <v>100</v>
      </c>
      <c r="I56" s="55">
        <f t="shared" ref="I56:I71" si="118">+E56*100/(C56+E56)</f>
        <v>0</v>
      </c>
      <c r="M56" s="65" t="s">
        <v>2</v>
      </c>
      <c r="N56" s="15"/>
      <c r="O56" s="16">
        <f>+C28+M28+W28+AG28+AQ28</f>
        <v>0</v>
      </c>
      <c r="P56" s="64">
        <f t="shared" ref="P56:P61" si="119">+O56*100/O$63</f>
        <v>0</v>
      </c>
      <c r="Q56" s="16">
        <f>+F51+P51+Z51+AJ51+AT51</f>
        <v>0</v>
      </c>
      <c r="R56" s="18" t="e">
        <f t="shared" ref="R56:R61" si="120">+Q56*100/Q$63</f>
        <v>#DIV/0!</v>
      </c>
      <c r="W56" s="107"/>
    </row>
    <row r="57" spans="1:54" x14ac:dyDescent="0.25">
      <c r="A57" s="66">
        <f t="shared" si="112"/>
        <v>19</v>
      </c>
      <c r="B57" s="67">
        <f t="shared" si="112"/>
        <v>0</v>
      </c>
      <c r="C57" s="25">
        <f t="shared" si="113"/>
        <v>2</v>
      </c>
      <c r="D57" s="68">
        <f t="shared" si="114"/>
        <v>25</v>
      </c>
      <c r="E57" s="22">
        <f t="shared" si="115"/>
        <v>0</v>
      </c>
      <c r="F57" s="24" t="e">
        <f t="shared" si="115"/>
        <v>#DIV/0!</v>
      </c>
      <c r="G57" s="24">
        <f t="shared" si="116"/>
        <v>25</v>
      </c>
      <c r="H57" s="25">
        <f t="shared" si="117"/>
        <v>100</v>
      </c>
      <c r="I57" s="32">
        <f t="shared" si="118"/>
        <v>0</v>
      </c>
      <c r="M57" s="25" t="s">
        <v>36</v>
      </c>
      <c r="N57" s="22"/>
      <c r="O57" s="22">
        <f>+D28+N28+X28+AH28+AR28</f>
        <v>2</v>
      </c>
      <c r="P57" s="68">
        <f t="shared" si="119"/>
        <v>33.333333333333336</v>
      </c>
      <c r="Q57" s="22">
        <f>+H51+R51+AB51+AL51+AV50</f>
        <v>0</v>
      </c>
      <c r="R57" s="24" t="e">
        <f t="shared" si="120"/>
        <v>#DIV/0!</v>
      </c>
    </row>
    <row r="58" spans="1:54" x14ac:dyDescent="0.25">
      <c r="A58" s="66">
        <f t="shared" si="112"/>
        <v>21</v>
      </c>
      <c r="B58" s="67">
        <f t="shared" si="112"/>
        <v>0</v>
      </c>
      <c r="C58" s="25">
        <f t="shared" si="113"/>
        <v>0</v>
      </c>
      <c r="D58" s="68">
        <f t="shared" si="114"/>
        <v>0</v>
      </c>
      <c r="E58" s="22">
        <f t="shared" si="115"/>
        <v>0</v>
      </c>
      <c r="F58" s="24" t="e">
        <f t="shared" si="115"/>
        <v>#DIV/0!</v>
      </c>
      <c r="G58" s="24">
        <f t="shared" si="116"/>
        <v>0</v>
      </c>
      <c r="H58" s="25" t="e">
        <f t="shared" si="117"/>
        <v>#DIV/0!</v>
      </c>
      <c r="I58" s="32" t="e">
        <f t="shared" si="118"/>
        <v>#DIV/0!</v>
      </c>
      <c r="M58" s="25" t="s">
        <v>37</v>
      </c>
      <c r="N58" s="22"/>
      <c r="O58" s="22">
        <f>+E28+O28+Y28+AI28+AS28</f>
        <v>2</v>
      </c>
      <c r="P58" s="68">
        <f t="shared" si="119"/>
        <v>33.333333333333336</v>
      </c>
      <c r="Q58" s="22">
        <f>+I51+S51+AC51+AM51+AW51</f>
        <v>0</v>
      </c>
      <c r="R58" s="24" t="e">
        <f t="shared" si="120"/>
        <v>#DIV/0!</v>
      </c>
    </row>
    <row r="59" spans="1:54" x14ac:dyDescent="0.25">
      <c r="A59" s="66">
        <f t="shared" si="112"/>
        <v>2</v>
      </c>
      <c r="B59" s="67">
        <f t="shared" si="112"/>
        <v>0</v>
      </c>
      <c r="C59" s="25">
        <f t="shared" si="113"/>
        <v>0</v>
      </c>
      <c r="D59" s="68">
        <f t="shared" si="114"/>
        <v>0</v>
      </c>
      <c r="E59" s="22">
        <f t="shared" si="115"/>
        <v>0</v>
      </c>
      <c r="F59" s="24" t="e">
        <f t="shared" si="115"/>
        <v>#DIV/0!</v>
      </c>
      <c r="G59" s="24">
        <f t="shared" si="116"/>
        <v>0</v>
      </c>
      <c r="H59" s="25" t="e">
        <f t="shared" si="117"/>
        <v>#DIV/0!</v>
      </c>
      <c r="I59" s="32" t="e">
        <f t="shared" si="118"/>
        <v>#DIV/0!</v>
      </c>
      <c r="M59" s="25" t="s">
        <v>38</v>
      </c>
      <c r="N59" s="22"/>
      <c r="O59" s="22">
        <f>+F28+P28+Z28+AJ28+AT28</f>
        <v>2</v>
      </c>
      <c r="P59" s="68">
        <f t="shared" si="119"/>
        <v>33.333333333333336</v>
      </c>
      <c r="Q59" s="22">
        <f>+J51+T51+AD51+AN51+AX51</f>
        <v>0</v>
      </c>
      <c r="R59" s="24" t="e">
        <f t="shared" si="120"/>
        <v>#DIV/0!</v>
      </c>
    </row>
    <row r="60" spans="1:54" x14ac:dyDescent="0.25">
      <c r="A60" s="66">
        <f t="shared" ref="A60" si="121">A37</f>
        <v>4</v>
      </c>
      <c r="B60" s="67">
        <f t="shared" ref="B60" si="122">B37</f>
        <v>0</v>
      </c>
      <c r="C60" s="25">
        <f t="shared" si="113"/>
        <v>0</v>
      </c>
      <c r="D60" s="68">
        <f t="shared" si="114"/>
        <v>0</v>
      </c>
      <c r="E60" s="22">
        <f t="shared" ref="E60" si="123">BA37</f>
        <v>0</v>
      </c>
      <c r="F60" s="24" t="e">
        <f t="shared" ref="F60" si="124">BB37</f>
        <v>#DIV/0!</v>
      </c>
      <c r="G60" s="24">
        <f t="shared" si="116"/>
        <v>0</v>
      </c>
      <c r="H60" s="25" t="e">
        <f t="shared" si="117"/>
        <v>#DIV/0!</v>
      </c>
      <c r="I60" s="32" t="e">
        <f t="shared" si="118"/>
        <v>#DIV/0!</v>
      </c>
      <c r="M60" s="25" t="s">
        <v>39</v>
      </c>
      <c r="N60" s="22"/>
      <c r="O60" s="22">
        <f>+H28+R28+AB28+AL28+AV28</f>
        <v>0</v>
      </c>
      <c r="P60" s="68">
        <f t="shared" si="119"/>
        <v>0</v>
      </c>
      <c r="Q60" s="22">
        <f>+C51+M51+W51+AG51+AQ51</f>
        <v>0</v>
      </c>
      <c r="R60" s="24" t="e">
        <f t="shared" si="120"/>
        <v>#DIV/0!</v>
      </c>
    </row>
    <row r="61" spans="1:54" x14ac:dyDescent="0.25">
      <c r="A61" s="66">
        <f t="shared" ref="A61:B72" si="125">A38</f>
        <v>10</v>
      </c>
      <c r="B61" s="67">
        <f t="shared" si="125"/>
        <v>0</v>
      </c>
      <c r="C61" s="25">
        <f t="shared" si="113"/>
        <v>0</v>
      </c>
      <c r="D61" s="68">
        <f t="shared" si="114"/>
        <v>0</v>
      </c>
      <c r="E61" s="22">
        <f t="shared" ref="E61:E70" si="126">BA38</f>
        <v>0</v>
      </c>
      <c r="F61" s="24" t="e">
        <f t="shared" ref="F61:F70" si="127">BB38</f>
        <v>#DIV/0!</v>
      </c>
      <c r="G61" s="24">
        <f t="shared" si="116"/>
        <v>0</v>
      </c>
      <c r="H61" s="25" t="e">
        <f t="shared" si="117"/>
        <v>#DIV/0!</v>
      </c>
      <c r="I61" s="32" t="e">
        <f t="shared" si="118"/>
        <v>#DIV/0!</v>
      </c>
      <c r="M61" s="25" t="s">
        <v>41</v>
      </c>
      <c r="N61" s="22"/>
      <c r="O61" s="22">
        <f>+S28+AC28+AM28+AW28+I28</f>
        <v>0</v>
      </c>
      <c r="P61" s="68">
        <f t="shared" si="119"/>
        <v>0</v>
      </c>
      <c r="Q61" s="22">
        <f>+D51+N51+X51+AH51+AR51</f>
        <v>0</v>
      </c>
      <c r="R61" s="24" t="e">
        <f t="shared" si="120"/>
        <v>#DIV/0!</v>
      </c>
    </row>
    <row r="62" spans="1:54" x14ac:dyDescent="0.25">
      <c r="A62" s="66">
        <f t="shared" si="125"/>
        <v>13</v>
      </c>
      <c r="B62" s="67">
        <f t="shared" si="125"/>
        <v>0</v>
      </c>
      <c r="C62" s="25">
        <f t="shared" si="113"/>
        <v>0</v>
      </c>
      <c r="D62" s="68">
        <f t="shared" si="114"/>
        <v>0</v>
      </c>
      <c r="E62" s="22">
        <f t="shared" si="126"/>
        <v>0</v>
      </c>
      <c r="F62" s="24" t="e">
        <f t="shared" si="127"/>
        <v>#DIV/0!</v>
      </c>
      <c r="G62" s="24">
        <f t="shared" si="116"/>
        <v>0</v>
      </c>
      <c r="H62" s="25" t="e">
        <f t="shared" ref="H62" si="128">+C62*100/(C62+E62)</f>
        <v>#DIV/0!</v>
      </c>
      <c r="I62" s="32" t="e">
        <f t="shared" ref="I62" si="129">+E62*100/(C62+E62)</f>
        <v>#DIV/0!</v>
      </c>
      <c r="M62" s="69" t="s">
        <v>40</v>
      </c>
      <c r="N62" s="70"/>
      <c r="O62" s="70">
        <f>+J28+T28+AD28+AN28+AX28</f>
        <v>0</v>
      </c>
      <c r="P62" s="71">
        <f t="shared" ref="P62" si="130">+O62*100/O$63</f>
        <v>0</v>
      </c>
      <c r="Q62" s="70">
        <f>+G51+Q51+AA51+AK51+AU51</f>
        <v>0</v>
      </c>
      <c r="R62" s="72" t="e">
        <f t="shared" ref="R62" si="131">+Q62*100/Q$63</f>
        <v>#DIV/0!</v>
      </c>
    </row>
    <row r="63" spans="1:54" ht="16.5" thickBot="1" x14ac:dyDescent="0.3">
      <c r="A63" s="66">
        <f t="shared" si="125"/>
        <v>12</v>
      </c>
      <c r="B63" s="67">
        <f t="shared" si="125"/>
        <v>0</v>
      </c>
      <c r="C63" s="25">
        <f t="shared" si="113"/>
        <v>2</v>
      </c>
      <c r="D63" s="68">
        <f t="shared" si="114"/>
        <v>25</v>
      </c>
      <c r="E63" s="22">
        <f t="shared" si="126"/>
        <v>0</v>
      </c>
      <c r="F63" s="24" t="e">
        <f t="shared" si="127"/>
        <v>#DIV/0!</v>
      </c>
      <c r="G63" s="24">
        <f t="shared" si="116"/>
        <v>25</v>
      </c>
      <c r="H63" s="25">
        <f t="shared" si="117"/>
        <v>100</v>
      </c>
      <c r="I63" s="32">
        <f t="shared" si="118"/>
        <v>0</v>
      </c>
      <c r="M63" s="73" t="s">
        <v>10</v>
      </c>
      <c r="N63" s="74"/>
      <c r="O63" s="75">
        <f>SUM(O56:O62)</f>
        <v>6</v>
      </c>
      <c r="P63" s="76"/>
      <c r="Q63" s="75">
        <f>SUM(Q56:Q62)</f>
        <v>0</v>
      </c>
      <c r="R63" s="77"/>
    </row>
    <row r="64" spans="1:54" ht="16.5" thickBot="1" x14ac:dyDescent="0.3">
      <c r="A64" s="66">
        <f t="shared" si="125"/>
        <v>16</v>
      </c>
      <c r="B64" s="67">
        <f t="shared" si="125"/>
        <v>0</v>
      </c>
      <c r="C64" s="25">
        <f t="shared" si="113"/>
        <v>0</v>
      </c>
      <c r="D64" s="68">
        <f t="shared" si="114"/>
        <v>0</v>
      </c>
      <c r="E64" s="22">
        <f t="shared" si="126"/>
        <v>0</v>
      </c>
      <c r="F64" s="24" t="e">
        <f t="shared" si="127"/>
        <v>#DIV/0!</v>
      </c>
      <c r="G64" s="24">
        <f t="shared" si="116"/>
        <v>0</v>
      </c>
      <c r="H64" s="25" t="e">
        <f t="shared" ref="H64" si="132">+C64*100/(C64+E64)</f>
        <v>#DIV/0!</v>
      </c>
      <c r="I64" s="32" t="e">
        <f t="shared" ref="I64" si="133">+E64*100/(C64+E64)</f>
        <v>#DIV/0!</v>
      </c>
    </row>
    <row r="65" spans="1:16" x14ac:dyDescent="0.25">
      <c r="A65" s="66">
        <f t="shared" si="125"/>
        <v>6</v>
      </c>
      <c r="B65" s="67">
        <f t="shared" si="125"/>
        <v>0</v>
      </c>
      <c r="C65" s="25">
        <f t="shared" si="113"/>
        <v>0</v>
      </c>
      <c r="D65" s="68">
        <f t="shared" si="114"/>
        <v>0</v>
      </c>
      <c r="E65" s="22">
        <f t="shared" si="126"/>
        <v>0</v>
      </c>
      <c r="F65" s="24" t="e">
        <f t="shared" si="127"/>
        <v>#DIV/0!</v>
      </c>
      <c r="G65" s="24">
        <f t="shared" si="116"/>
        <v>0</v>
      </c>
      <c r="H65" s="25" t="e">
        <f t="shared" si="117"/>
        <v>#DIV/0!</v>
      </c>
      <c r="I65" s="32" t="e">
        <f t="shared" si="118"/>
        <v>#DIV/0!</v>
      </c>
      <c r="L65" s="108" t="s">
        <v>54</v>
      </c>
      <c r="M65" s="109"/>
      <c r="N65" s="109"/>
      <c r="O65" s="110"/>
    </row>
    <row r="66" spans="1:16" ht="15.75" customHeight="1" x14ac:dyDescent="0.25">
      <c r="A66" s="66">
        <f t="shared" si="125"/>
        <v>17</v>
      </c>
      <c r="B66" s="67">
        <f t="shared" si="125"/>
        <v>0</v>
      </c>
      <c r="C66" s="25">
        <f t="shared" si="113"/>
        <v>0</v>
      </c>
      <c r="D66" s="68">
        <f t="shared" si="114"/>
        <v>0</v>
      </c>
      <c r="E66" s="22">
        <f t="shared" si="126"/>
        <v>0</v>
      </c>
      <c r="F66" s="24" t="e">
        <f t="shared" si="127"/>
        <v>#DIV/0!</v>
      </c>
      <c r="G66" s="24">
        <f t="shared" si="116"/>
        <v>0</v>
      </c>
      <c r="H66" s="25" t="e">
        <f t="shared" si="117"/>
        <v>#DIV/0!</v>
      </c>
      <c r="I66" s="32" t="e">
        <f t="shared" si="118"/>
        <v>#DIV/0!</v>
      </c>
      <c r="L66" s="111"/>
      <c r="M66" s="112"/>
      <c r="N66" s="112"/>
      <c r="O66" s="113"/>
    </row>
    <row r="67" spans="1:16" x14ac:dyDescent="0.25">
      <c r="A67" s="66">
        <f t="shared" si="125"/>
        <v>8</v>
      </c>
      <c r="B67" s="67">
        <f t="shared" si="125"/>
        <v>0</v>
      </c>
      <c r="C67" s="25">
        <f t="shared" si="113"/>
        <v>0</v>
      </c>
      <c r="D67" s="68">
        <f t="shared" si="114"/>
        <v>0</v>
      </c>
      <c r="E67" s="22">
        <f t="shared" si="126"/>
        <v>0</v>
      </c>
      <c r="F67" s="24" t="e">
        <f t="shared" si="127"/>
        <v>#DIV/0!</v>
      </c>
      <c r="G67" s="24">
        <f t="shared" si="116"/>
        <v>0</v>
      </c>
      <c r="H67" s="25" t="e">
        <f t="shared" si="117"/>
        <v>#DIV/0!</v>
      </c>
      <c r="I67" s="32" t="e">
        <f t="shared" si="118"/>
        <v>#DIV/0!</v>
      </c>
      <c r="L67" s="111"/>
      <c r="M67" s="112"/>
      <c r="N67" s="112"/>
      <c r="O67" s="113"/>
    </row>
    <row r="68" spans="1:16" x14ac:dyDescent="0.25">
      <c r="A68" s="66">
        <f t="shared" si="125"/>
        <v>22</v>
      </c>
      <c r="B68" s="67">
        <f t="shared" si="125"/>
        <v>0</v>
      </c>
      <c r="C68" s="25">
        <f t="shared" si="113"/>
        <v>0</v>
      </c>
      <c r="D68" s="68">
        <f t="shared" si="114"/>
        <v>0</v>
      </c>
      <c r="E68" s="22">
        <f t="shared" si="126"/>
        <v>0</v>
      </c>
      <c r="F68" s="24" t="e">
        <f t="shared" si="127"/>
        <v>#DIV/0!</v>
      </c>
      <c r="G68" s="24">
        <f t="shared" si="116"/>
        <v>0</v>
      </c>
      <c r="H68" s="25" t="e">
        <f t="shared" ref="H68" si="134">+C68*100/(C68+E68)</f>
        <v>#DIV/0!</v>
      </c>
      <c r="I68" s="32" t="e">
        <f t="shared" ref="I68" si="135">+E68*100/(C68+E68)</f>
        <v>#DIV/0!</v>
      </c>
      <c r="L68" s="111"/>
      <c r="M68" s="112"/>
      <c r="N68" s="112"/>
      <c r="O68" s="113"/>
    </row>
    <row r="69" spans="1:16" ht="15.75" customHeight="1" x14ac:dyDescent="0.25">
      <c r="A69" s="66">
        <f t="shared" si="125"/>
        <v>10</v>
      </c>
      <c r="B69" s="67">
        <f t="shared" si="125"/>
        <v>0</v>
      </c>
      <c r="C69" s="25">
        <f t="shared" si="113"/>
        <v>0</v>
      </c>
      <c r="D69" s="68">
        <f t="shared" si="114"/>
        <v>0</v>
      </c>
      <c r="E69" s="22">
        <f t="shared" si="126"/>
        <v>0</v>
      </c>
      <c r="F69" s="24" t="e">
        <f t="shared" si="127"/>
        <v>#DIV/0!</v>
      </c>
      <c r="G69" s="24">
        <f t="shared" si="116"/>
        <v>0</v>
      </c>
      <c r="H69" s="25" t="e">
        <f t="shared" si="117"/>
        <v>#DIV/0!</v>
      </c>
      <c r="I69" s="32" t="e">
        <f t="shared" si="118"/>
        <v>#DIV/0!</v>
      </c>
      <c r="L69" s="111"/>
      <c r="M69" s="112"/>
      <c r="N69" s="112"/>
      <c r="O69" s="113"/>
    </row>
    <row r="70" spans="1:16" x14ac:dyDescent="0.25">
      <c r="A70" s="66">
        <f t="shared" si="125"/>
        <v>7</v>
      </c>
      <c r="B70" s="67">
        <f t="shared" si="125"/>
        <v>0</v>
      </c>
      <c r="C70" s="31">
        <f t="shared" si="113"/>
        <v>2</v>
      </c>
      <c r="D70" s="68">
        <f t="shared" si="114"/>
        <v>25</v>
      </c>
      <c r="E70" s="22">
        <f t="shared" si="126"/>
        <v>0</v>
      </c>
      <c r="F70" s="24" t="e">
        <f t="shared" si="127"/>
        <v>#DIV/0!</v>
      </c>
      <c r="G70" s="24">
        <f t="shared" si="116"/>
        <v>25</v>
      </c>
      <c r="H70" s="25">
        <f t="shared" si="117"/>
        <v>100</v>
      </c>
      <c r="I70" s="32">
        <f t="shared" si="118"/>
        <v>0</v>
      </c>
      <c r="L70" s="111"/>
      <c r="M70" s="112"/>
      <c r="N70" s="112"/>
      <c r="O70" s="113"/>
    </row>
    <row r="71" spans="1:16" x14ac:dyDescent="0.25">
      <c r="A71" s="66">
        <f t="shared" si="125"/>
        <v>9</v>
      </c>
      <c r="B71" s="67">
        <f t="shared" si="125"/>
        <v>0</v>
      </c>
      <c r="C71" s="31">
        <f t="shared" si="113"/>
        <v>0</v>
      </c>
      <c r="D71" s="68">
        <f t="shared" si="114"/>
        <v>0</v>
      </c>
      <c r="E71" s="22">
        <f t="shared" ref="E71" si="136">BA48</f>
        <v>0</v>
      </c>
      <c r="F71" s="24" t="e">
        <f t="shared" ref="F71" si="137">BB48</f>
        <v>#DIV/0!</v>
      </c>
      <c r="G71" s="24">
        <f t="shared" si="116"/>
        <v>0</v>
      </c>
      <c r="H71" s="25" t="e">
        <f t="shared" si="117"/>
        <v>#DIV/0!</v>
      </c>
      <c r="I71" s="32" t="e">
        <f t="shared" si="118"/>
        <v>#DIV/0!</v>
      </c>
      <c r="L71" s="111"/>
      <c r="M71" s="112"/>
      <c r="N71" s="112"/>
      <c r="O71" s="113"/>
    </row>
    <row r="72" spans="1:16" x14ac:dyDescent="0.25">
      <c r="A72" s="66">
        <f t="shared" si="125"/>
        <v>3</v>
      </c>
      <c r="B72" s="67">
        <f t="shared" si="125"/>
        <v>0</v>
      </c>
      <c r="C72" s="31">
        <f t="shared" si="113"/>
        <v>0</v>
      </c>
      <c r="D72" s="68">
        <f t="shared" si="114"/>
        <v>0</v>
      </c>
      <c r="E72" s="22">
        <f t="shared" ref="E72:E73" si="138">BA49</f>
        <v>0</v>
      </c>
      <c r="F72" s="24" t="e">
        <f t="shared" ref="F72:F73" si="139">BB49</f>
        <v>#DIV/0!</v>
      </c>
      <c r="G72" s="24">
        <f t="shared" si="116"/>
        <v>0</v>
      </c>
      <c r="H72" s="25" t="e">
        <f t="shared" ref="H72" si="140">+C72*100/(C72+E72)</f>
        <v>#DIV/0!</v>
      </c>
      <c r="I72" s="32" t="e">
        <f t="shared" ref="I72" si="141">+E72*100/(C72+E72)</f>
        <v>#DIV/0!</v>
      </c>
      <c r="L72" s="111"/>
      <c r="M72" s="112"/>
      <c r="N72" s="112"/>
      <c r="O72" s="113"/>
    </row>
    <row r="73" spans="1:16" ht="16.5" thickBot="1" x14ac:dyDescent="0.3">
      <c r="A73" s="66"/>
      <c r="B73" s="67" t="str">
        <f>B50</f>
        <v>Contrario</v>
      </c>
      <c r="C73" s="36">
        <f t="shared" si="113"/>
        <v>0</v>
      </c>
      <c r="D73" s="78">
        <f t="shared" si="114"/>
        <v>0</v>
      </c>
      <c r="E73" s="79">
        <f t="shared" si="138"/>
        <v>0</v>
      </c>
      <c r="F73" s="37" t="e">
        <f t="shared" si="139"/>
        <v>#DIV/0!</v>
      </c>
      <c r="G73" s="37">
        <f t="shared" si="116"/>
        <v>0</v>
      </c>
      <c r="H73" s="36" t="e">
        <f>+C73*100/(C73+E73)</f>
        <v>#DIV/0!</v>
      </c>
      <c r="I73" s="80" t="e">
        <f>+E73*100/(C73+E73)</f>
        <v>#DIV/0!</v>
      </c>
      <c r="L73" s="114"/>
      <c r="M73" s="115"/>
      <c r="N73" s="115"/>
      <c r="O73" s="116"/>
      <c r="P73" s="7"/>
    </row>
    <row r="74" spans="1:16" s="7" customFormat="1" ht="16.5" thickBot="1" x14ac:dyDescent="0.3">
      <c r="A74" s="81"/>
      <c r="B74" s="82" t="s">
        <v>10</v>
      </c>
      <c r="C74" s="83">
        <f>SUM(C56:C73)</f>
        <v>8</v>
      </c>
      <c r="D74" s="84"/>
      <c r="E74" s="75">
        <f>SUM(E56:E73)</f>
        <v>0</v>
      </c>
      <c r="F74" s="85">
        <v>2</v>
      </c>
      <c r="G74" s="86"/>
      <c r="H74" s="51"/>
      <c r="I74" s="52"/>
      <c r="M74" s="1"/>
      <c r="N74" s="1"/>
      <c r="O74" s="1"/>
      <c r="P74" s="1"/>
    </row>
  </sheetData>
  <mergeCells count="22">
    <mergeCell ref="L65:O73"/>
    <mergeCell ref="AQ31:AZ31"/>
    <mergeCell ref="BA31:BB31"/>
    <mergeCell ref="M8:V8"/>
    <mergeCell ref="W8:AF8"/>
    <mergeCell ref="AG8:AP8"/>
    <mergeCell ref="AQ8:AZ8"/>
    <mergeCell ref="BA8:BB8"/>
    <mergeCell ref="AG31:AP31"/>
    <mergeCell ref="W31:AF31"/>
    <mergeCell ref="A2:C2"/>
    <mergeCell ref="I4:K4"/>
    <mergeCell ref="M55:N55"/>
    <mergeCell ref="C31:L31"/>
    <mergeCell ref="M31:V31"/>
    <mergeCell ref="C8:L8"/>
    <mergeCell ref="A6:F6"/>
    <mergeCell ref="C54:D54"/>
    <mergeCell ref="E54:F54"/>
    <mergeCell ref="H54:I54"/>
    <mergeCell ref="O54:P54"/>
    <mergeCell ref="Q54:R54"/>
  </mergeCells>
  <phoneticPr fontId="4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DXIKFS45MGRIR3FDMZGZVQJVAJ66RAQO:ms-officescript%3A%2F%2Fonedrive_business_sharinglink%2Fu!aHR0cHM6Ly91c2VzMC1teS5zaGFyZXBvaW50LmNvbS86dTovZy9wZXJzb25hbC9pbGlhZmFfYWx1bV91c19lcy9FWjFob29qc28yWk5tc0UxQW4zb2dnNEJodGdhUk9NXzlrcXlJNkxvaUx6ckZB"/>
</scriptIds>
</file>

<file path=customXml/itemProps1.xml><?xml version="1.0" encoding="utf-8"?>
<ds:datastoreItem xmlns:ds="http://schemas.openxmlformats.org/officeDocument/2006/customXml" ds:itemID="{7D265FCF-AF74-4C6B-9DD4-607DE1D5C22F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CVR36</vt:lpstr>
    </vt:vector>
  </TitlesOfParts>
  <Company>Orizom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Lorente Diez</dc:creator>
  <cp:lastModifiedBy>ILIAS AFAILAL</cp:lastModifiedBy>
  <cp:lastPrinted>2014-10-10T19:12:50Z</cp:lastPrinted>
  <dcterms:created xsi:type="dcterms:W3CDTF">2013-11-03T08:39:38Z</dcterms:created>
  <dcterms:modified xsi:type="dcterms:W3CDTF">2024-11-26T13:08:02Z</dcterms:modified>
</cp:coreProperties>
</file>